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thony\Pictures\Broadway-Exploratory-data-analysis\heatmap\"/>
    </mc:Choice>
  </mc:AlternateContent>
  <xr:revisionPtr revIDLastSave="0" documentId="13_ncr:1_{9F533C4F-0EAD-4AFB-A80F-B6703A4F7C95}" xr6:coauthVersionLast="47" xr6:coauthVersionMax="47" xr10:uidLastSave="{00000000-0000-0000-0000-000000000000}"/>
  <bookViews>
    <workbookView xWindow="-120" yWindow="-120" windowWidth="20730" windowHeight="11040" xr2:uid="{9CC2DDB1-D374-4857-BD3E-CC5AE6C273B3}"/>
  </bookViews>
  <sheets>
    <sheet name="Sheet1" sheetId="1" r:id="rId1"/>
  </sheets>
  <externalReferences>
    <externalReference r:id="rId2"/>
    <externalReference r:id="rId3"/>
    <externalReference r:id="rId4"/>
    <externalReference r:id="rId5"/>
  </externalReferences>
  <definedNames>
    <definedName name="_xlnm._FilterDatabase" localSheetId="0" hidden="1">Sheet1!$B$1:$S$73</definedName>
    <definedName name="control_effectiveness">[2]Variables!$L$7:$L$21</definedName>
    <definedName name="Finance">[3]Finance!$1:$1048576</definedName>
    <definedName name="impact">[2]Variables!$B$7:$B$21</definedName>
    <definedName name="lastrow">[4]Summary!#REF!</definedName>
    <definedName name="material_focus_area">[2]Variables!$V$7:$V$30</definedName>
    <definedName name="probability">[2]Variables!$E$7:$E$21</definedName>
    <definedName name="progress">[2]Variables!$Z$7:$Z$21</definedName>
    <definedName name="risk_treatment">[2]Variables!$X$7:$X$21</definedName>
    <definedName name="risk_trend">[2]Variables!$AF$7:$AF$21</definedName>
    <definedName name="value_drivers">[2]Variables!$S$7:$S$21</definedName>
    <definedName name="velocity">[2]Variables!$AH$7:$AH$30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3" i="1" l="1"/>
  <c r="N73" i="1" s="1"/>
  <c r="J72" i="1"/>
  <c r="N72" i="1" s="1"/>
  <c r="N71" i="1"/>
  <c r="K71" i="1"/>
  <c r="J71" i="1"/>
  <c r="J70" i="1"/>
  <c r="N70" i="1" s="1"/>
  <c r="J69" i="1"/>
  <c r="K69" i="1" s="1"/>
  <c r="N68" i="1"/>
  <c r="J68" i="1"/>
  <c r="K68" i="1" s="1"/>
  <c r="J67" i="1"/>
  <c r="N67" i="1" s="1"/>
  <c r="J66" i="1"/>
  <c r="K66" i="1" s="1"/>
  <c r="N65" i="1"/>
  <c r="K65" i="1"/>
  <c r="J65" i="1"/>
  <c r="J64" i="1"/>
  <c r="N64" i="1" s="1"/>
  <c r="N63" i="1"/>
  <c r="K63" i="1"/>
  <c r="J63" i="1"/>
  <c r="J62" i="1"/>
  <c r="N62" i="1" s="1"/>
  <c r="J61" i="1"/>
  <c r="K61" i="1" s="1"/>
  <c r="N60" i="1"/>
  <c r="J60" i="1"/>
  <c r="K60" i="1" s="1"/>
  <c r="J59" i="1"/>
  <c r="N59" i="1" s="1"/>
  <c r="J58" i="1"/>
  <c r="K58" i="1" s="1"/>
  <c r="N57" i="1"/>
  <c r="K57" i="1"/>
  <c r="J57" i="1"/>
  <c r="J56" i="1"/>
  <c r="N56" i="1" s="1"/>
  <c r="N55" i="1"/>
  <c r="K55" i="1"/>
  <c r="J55" i="1"/>
  <c r="J54" i="1"/>
  <c r="N54" i="1" s="1"/>
  <c r="J53" i="1"/>
  <c r="N53" i="1" s="1"/>
  <c r="N52" i="1"/>
  <c r="J52" i="1"/>
  <c r="K52" i="1" s="1"/>
  <c r="J51" i="1"/>
  <c r="N51" i="1" s="1"/>
  <c r="J50" i="1"/>
  <c r="K50" i="1" s="1"/>
  <c r="N49" i="1"/>
  <c r="K49" i="1"/>
  <c r="J49" i="1"/>
  <c r="J48" i="1"/>
  <c r="K48" i="1" s="1"/>
  <c r="N47" i="1"/>
  <c r="K47" i="1"/>
  <c r="J47" i="1"/>
  <c r="J46" i="1"/>
  <c r="N46" i="1" s="1"/>
  <c r="J45" i="1"/>
  <c r="N45" i="1" s="1"/>
  <c r="N44" i="1"/>
  <c r="J44" i="1"/>
  <c r="K44" i="1" s="1"/>
  <c r="J43" i="1"/>
  <c r="N43" i="1" s="1"/>
  <c r="J42" i="1"/>
  <c r="K42" i="1" s="1"/>
  <c r="N41" i="1"/>
  <c r="K41" i="1"/>
  <c r="J41" i="1"/>
  <c r="J40" i="1"/>
  <c r="K40" i="1" s="1"/>
  <c r="N39" i="1"/>
  <c r="K39" i="1"/>
  <c r="J39" i="1"/>
  <c r="J38" i="1"/>
  <c r="N38" i="1" s="1"/>
  <c r="J37" i="1"/>
  <c r="N37" i="1" s="1"/>
  <c r="N36" i="1"/>
  <c r="J36" i="1"/>
  <c r="K36" i="1" s="1"/>
  <c r="J35" i="1"/>
  <c r="N35" i="1" s="1"/>
  <c r="J34" i="1"/>
  <c r="N34" i="1" s="1"/>
  <c r="N33" i="1"/>
  <c r="K33" i="1"/>
  <c r="J33" i="1"/>
  <c r="J32" i="1"/>
  <c r="K32" i="1" s="1"/>
  <c r="N31" i="1"/>
  <c r="K31" i="1"/>
  <c r="J31" i="1"/>
  <c r="J30" i="1"/>
  <c r="N30" i="1" s="1"/>
  <c r="J29" i="1"/>
  <c r="N29" i="1" s="1"/>
  <c r="N28" i="1"/>
  <c r="J28" i="1"/>
  <c r="K28" i="1" s="1"/>
  <c r="J27" i="1"/>
  <c r="N27" i="1" s="1"/>
  <c r="J26" i="1"/>
  <c r="N26" i="1" s="1"/>
  <c r="N25" i="1"/>
  <c r="K25" i="1"/>
  <c r="J25" i="1"/>
  <c r="J24" i="1"/>
  <c r="K24" i="1" s="1"/>
  <c r="N23" i="1"/>
  <c r="K23" i="1"/>
  <c r="J23" i="1"/>
  <c r="J22" i="1"/>
  <c r="N22" i="1" s="1"/>
  <c r="J21" i="1"/>
  <c r="K21" i="1" s="1"/>
  <c r="N20" i="1"/>
  <c r="J20" i="1"/>
  <c r="K20" i="1" s="1"/>
  <c r="J19" i="1"/>
  <c r="N19" i="1" s="1"/>
  <c r="J18" i="1"/>
  <c r="N18" i="1" s="1"/>
  <c r="N17" i="1"/>
  <c r="K17" i="1"/>
  <c r="J17" i="1"/>
  <c r="J16" i="1"/>
  <c r="N16" i="1" s="1"/>
  <c r="N15" i="1"/>
  <c r="K15" i="1"/>
  <c r="J15" i="1"/>
  <c r="N14" i="1"/>
  <c r="J14" i="1"/>
  <c r="K14" i="1" s="1"/>
  <c r="J13" i="1"/>
  <c r="N13" i="1" s="1"/>
  <c r="N12" i="1"/>
  <c r="J12" i="1"/>
  <c r="K12" i="1" s="1"/>
  <c r="J11" i="1"/>
  <c r="N11" i="1" s="1"/>
  <c r="K10" i="1"/>
  <c r="J10" i="1"/>
  <c r="N10" i="1" s="1"/>
  <c r="N9" i="1"/>
  <c r="K9" i="1"/>
  <c r="J9" i="1"/>
  <c r="J8" i="1"/>
  <c r="K8" i="1" s="1"/>
  <c r="N7" i="1"/>
  <c r="K7" i="1"/>
  <c r="J7" i="1"/>
  <c r="N6" i="1"/>
  <c r="J6" i="1"/>
  <c r="K6" i="1" s="1"/>
  <c r="J5" i="1"/>
  <c r="K5" i="1" s="1"/>
  <c r="N4" i="1"/>
  <c r="J4" i="1"/>
  <c r="K4" i="1" s="1"/>
  <c r="J3" i="1"/>
  <c r="N3" i="1" s="1"/>
  <c r="J2" i="1"/>
  <c r="K2" i="1" s="1"/>
  <c r="N42" i="1" l="1"/>
  <c r="K45" i="1"/>
  <c r="N50" i="1"/>
  <c r="N58" i="1"/>
  <c r="N66" i="1"/>
  <c r="N5" i="1"/>
  <c r="K56" i="1"/>
  <c r="K72" i="1"/>
  <c r="K3" i="1"/>
  <c r="N48" i="1"/>
  <c r="K51" i="1"/>
  <c r="K59" i="1"/>
  <c r="K67" i="1"/>
  <c r="K26" i="1"/>
  <c r="N2" i="1"/>
  <c r="K37" i="1"/>
  <c r="K16" i="1"/>
  <c r="N61" i="1"/>
  <c r="K64" i="1"/>
  <c r="N69" i="1"/>
  <c r="N8" i="1"/>
  <c r="K11" i="1"/>
  <c r="K19" i="1"/>
  <c r="N24" i="1"/>
  <c r="K27" i="1"/>
  <c r="N32" i="1"/>
  <c r="K35" i="1"/>
  <c r="N40" i="1"/>
  <c r="K43" i="1"/>
  <c r="K22" i="1"/>
  <c r="K30" i="1"/>
  <c r="K38" i="1"/>
  <c r="K46" i="1"/>
  <c r="K54" i="1"/>
  <c r="K62" i="1"/>
  <c r="K70" i="1"/>
  <c r="K18" i="1"/>
  <c r="K13" i="1"/>
  <c r="K29" i="1"/>
  <c r="K53" i="1"/>
  <c r="N21" i="1"/>
  <c r="K73" i="1"/>
  <c r="K34" i="1"/>
</calcChain>
</file>

<file path=xl/sharedStrings.xml><?xml version="1.0" encoding="utf-8"?>
<sst xmlns="http://schemas.openxmlformats.org/spreadsheetml/2006/main" count="538" uniqueCount="335">
  <si>
    <t>Function</t>
  </si>
  <si>
    <t>#</t>
  </si>
  <si>
    <t>Risk ID</t>
  </si>
  <si>
    <t>RISKS</t>
  </si>
  <si>
    <t>OBJECTIVE</t>
  </si>
  <si>
    <t>CONSEQUENCE/ IMPACT</t>
  </si>
  <si>
    <t>Impact / Consequence Rating</t>
  </si>
  <si>
    <t>Probability / Likelihood Rating</t>
  </si>
  <si>
    <t>Inherent Risk Rating</t>
  </si>
  <si>
    <t>Risk Classification</t>
  </si>
  <si>
    <t xml:space="preserve">MITIGATING ACTIONS  </t>
  </si>
  <si>
    <t>Residual Risk (Risk After controls)</t>
  </si>
  <si>
    <t>Risk Action</t>
  </si>
  <si>
    <t>STATUS-Comments</t>
  </si>
  <si>
    <t>Next Actions</t>
  </si>
  <si>
    <t>By who - Responsible</t>
  </si>
  <si>
    <t>By When</t>
  </si>
  <si>
    <t>Completed Date</t>
  </si>
  <si>
    <t xml:space="preserve">Production Planning, Maintenance and Controls </t>
  </si>
  <si>
    <t>M1</t>
  </si>
  <si>
    <r>
      <t xml:space="preserve">Plant capacity - </t>
    </r>
    <r>
      <rPr>
        <sz val="8"/>
        <color rgb="FF000000"/>
        <rFont val="Arial"/>
        <family val="2"/>
      </rPr>
      <t xml:space="preserve">Idle capacity with no full utilization. - </t>
    </r>
    <r>
      <rPr>
        <b/>
        <sz val="8"/>
        <color rgb="FF000000"/>
        <rFont val="Arial"/>
        <family val="2"/>
      </rPr>
      <t>Financial Risks</t>
    </r>
  </si>
  <si>
    <r>
      <t xml:space="preserve">1. Annual Output Target 
2. Plant availability, utilization and efficincy.
</t>
    </r>
    <r>
      <rPr>
        <sz val="8"/>
        <color rgb="FFFF0000"/>
        <rFont val="Arial"/>
        <family val="2"/>
      </rPr>
      <t>The actual installed capacity is estimated at 2,600 bgas per day yet the actaul achieved on average is 1,400 bags per day</t>
    </r>
    <r>
      <rPr>
        <sz val="8"/>
        <color rgb="FF000000"/>
        <rFont val="Arial"/>
        <family val="2"/>
      </rPr>
      <t>.</t>
    </r>
  </si>
  <si>
    <t>1. Poor Return on Investment (ROI) - The capital tied up in underutilized machinery and facilities is not generating adequate returns.
2. Lost revenue and eroded profit margins - failure to generate potential sales and profits that could have been achieved at higher output levels.
3. Increased Per-Unit costs - Fixed costs (utilities, insurance, depreciation) are spread over a lower number of produced units.
4. Equipment degradation/failure - idle for long periods without proper maintenance can degrade equipment.</t>
  </si>
  <si>
    <t>Critical</t>
  </si>
  <si>
    <t>Unlikely</t>
  </si>
  <si>
    <t>1. Reduce machine idle time - market push to utilize excess capacity.
2. Machine utilization - performance metric that measures how effectively a machine is operating by comparing its actual running time to its total available time.</t>
  </si>
  <si>
    <t>Ineffective</t>
  </si>
  <si>
    <t>M2</t>
  </si>
  <si>
    <r>
      <t xml:space="preserve">Plant capacity - Idle capacity with no full utilization - </t>
    </r>
    <r>
      <rPr>
        <b/>
        <sz val="8"/>
        <color rgb="FF000000"/>
        <rFont val="Arial"/>
        <family val="2"/>
      </rPr>
      <t>Strategic &amp; Market Risks</t>
    </r>
  </si>
  <si>
    <t>1. Weakened competitiveness - Higher per-unit costs and potential quality issues.
2. Plant Optimization - Inability to optimized the plant due to unplanned down times; inability to meet market demand, inability to maintain market share.
3. Missed market opportunities - The inability to quickly ramp up production when demand increases.
4. Discouraged investment - Persistently low utilization rates can be a red flag for investors, discouraging future capital injections needed for growth or diversification. </t>
  </si>
  <si>
    <t>Moderate</t>
  </si>
  <si>
    <t xml:space="preserve">1. Diversify products and markets: Reduce reliance on a single product, customer, or market.
2. </t>
  </si>
  <si>
    <t>M3</t>
  </si>
  <si>
    <r>
      <t xml:space="preserve">Inability to reconcile production to final product - </t>
    </r>
    <r>
      <rPr>
        <b/>
        <sz val="8"/>
        <color rgb="FF000000"/>
        <rFont val="Arial"/>
        <family val="2"/>
      </rPr>
      <t>Operational Risks</t>
    </r>
  </si>
  <si>
    <t>1. Inaccurate inventory management and data capture - Discrepancies between physical stock and recorded data lead. Issues with actual consumption measure.
2. Quality control isues - challenging to maintain consistent product quality, leading to waste, rework, and potential product recalls.
3. Reduced efficiency - Manual and error-prone processes consume valuable time.
4. Misguided decision making -  poor strategic decisions (e.g., procurement, pricing) based on flawed data.
5. Increased wastage - Lack of clear data to map production and wastage at each stage for better optimization.</t>
  </si>
  <si>
    <t>Almost certain</t>
  </si>
  <si>
    <t>1. Reduce machine downtime - preventative maintenance programs to minimize unexpected equipment breakdowns.
2. Optimize production - Focus on minimizing waste, including wasted time
3. Automate repetitive tasks - automate mundane or repetitive tasks to free up labor, reduce errors, and improve consistency</t>
  </si>
  <si>
    <t>M4</t>
  </si>
  <si>
    <r>
      <rPr>
        <b/>
        <sz val="8"/>
        <color rgb="FF000000"/>
        <rFont val="Arial"/>
        <family val="2"/>
      </rPr>
      <t xml:space="preserve">Succession Planning - </t>
    </r>
    <r>
      <rPr>
        <sz val="8"/>
        <color rgb="FF000000"/>
        <rFont val="Arial"/>
        <family val="2"/>
      </rPr>
      <t>capturing and institutionalizing learning across the technical department are either non-existent or ineffective (what happens if the lead department member is unable to continue working?)</t>
    </r>
  </si>
  <si>
    <t>1. Loss of expertise - The departure of experienced personnel without proper knowledge transfer can lead to a loss of critical institutional and production-specific knowledge.
2. Poor execution - A new, unqualified, or ill-prepared leader can lead to poor strategic execution, production delays, and a decline in efficiency and quality.
3. Missed innovation - Over-reliance on internal candidates without bringing in new perspectives can limit fresh ideas and innovation. 
4. Talent and development risks - Unprepared successor, Missed talent, Employee attrition(alued employees to leave the company).</t>
  </si>
  <si>
    <t>Catastrophic</t>
  </si>
  <si>
    <t>Likely</t>
  </si>
  <si>
    <t>1. Identify all critical roles - pinpoint all positions crucial for core business operations and success.
2. Develop a deep and diverse talent pipeline - Create a pool of 2-4 potential candidates for each key position.
3. Cross-functional training/Job rotation.- provide a holistic understanding of the business operations.
4. Integrate succession with overall talent management - Plan for contingencies e.g., retirements, separations etc.</t>
  </si>
  <si>
    <t>M5</t>
  </si>
  <si>
    <r>
      <rPr>
        <b/>
        <sz val="8"/>
        <color rgb="FF000000"/>
        <rFont val="Arial"/>
        <family val="2"/>
      </rPr>
      <t xml:space="preserve">Machine calibration errors </t>
    </r>
    <r>
      <rPr>
        <sz val="8"/>
        <color rgb="FF000000"/>
        <rFont val="Arial"/>
        <family val="2"/>
      </rPr>
      <t>- Lack of skilled technicians, missed schedules.</t>
    </r>
  </si>
  <si>
    <t>1. Off-spec production, waste generation - goods returns, reworks.
2. Product quality issues &amp; waste - Errors in manufacturing and production processes.
3. Operational &amp; financial impact - Increased costs and wasted resources.
4. Regulatory &amp; legal consequences - Non-compliance like weight, mix ratios etc</t>
  </si>
  <si>
    <t>Serious</t>
  </si>
  <si>
    <t>1. Calibration Plan - Calibration schedule, 
2. Operator training - continous training, knowledge transfer.
3. Implement automated calibration reminders - manage schedules, track instrument performance, minimize human error.
4. Preventive Maintenance - Integrate calibration schedules with preventive maintenance programs</t>
  </si>
  <si>
    <t>Partially effective</t>
  </si>
  <si>
    <t>M6</t>
  </si>
  <si>
    <r>
      <rPr>
        <b/>
        <sz val="8"/>
        <color rgb="FF000000"/>
        <rFont val="Arial"/>
        <family val="2"/>
      </rPr>
      <t>Poor coordination</t>
    </r>
    <r>
      <rPr>
        <sz val="8"/>
        <color rgb="FF000000"/>
        <rFont val="Arial"/>
        <family val="2"/>
      </rPr>
      <t xml:space="preserve"> between Production, Procurement, and Sales - Lack of integrated planning system.</t>
    </r>
  </si>
  <si>
    <t>1. Overproduction or unmet orders
2. Raw material shortages
3. Disrupted production schedule - production bottlenecks
4. Increased operational costs - expedited shipping fees to compensate for delays, duplicated efforts. Etc
5. Reduced profitability and Inefficient resource allocation - departments work toward conflicting goals, Resources ( labor, materials) misallocation.</t>
  </si>
  <si>
    <t>1. Cross-functional collaboration and communication - Define roles and responsibilities, clear reporting structure.
2. Align goals and Key Performance Indicators (KPIs) - Establish shared objectives , use shared metrics(common KPIs).
3. Joint planning and risk management - Involve all departments in the Sales and Operations Planning process.</t>
  </si>
  <si>
    <t>M7</t>
  </si>
  <si>
    <r>
      <rPr>
        <b/>
        <sz val="8"/>
        <color rgb="FF000000"/>
        <rFont val="Arial"/>
        <family val="2"/>
      </rPr>
      <t xml:space="preserve">Poor critical spare parts inventory management </t>
    </r>
    <r>
      <rPr>
        <sz val="8"/>
        <color rgb="FF000000"/>
        <rFont val="Arial"/>
        <family val="2"/>
      </rPr>
      <t xml:space="preserve"> - Missing spares catalog, listing of critical equipment and associated critical spares, centalized stores management system etc.</t>
    </r>
  </si>
  <si>
    <t>1. Prolonged unplanned downtime - extended production stoppages when equipment fails.
2. Inaccurate spares inventory records - discrepancies between physical stock and digital records. (physically present but cannot be found, or in system but out of stock).
3. Increased procurement costs: -  forced emergency, last-minute orders (e.g., rush delivery).
4. Obsolete inventory and finacial losses - spare parts can become obsolete, leading to financial losses when they eventually need to be written off.</t>
  </si>
  <si>
    <t>1. Establish critical spares list - Critical equipment listing against the critical spares needed.
2. Supplier contracts - EOM (Equipment Original Manufacturer) list and catalog for all critical equipment and spares.
3. Optimize stock levels and safety stock - balance the risk of downtime with the cost of holding inventory.</t>
  </si>
  <si>
    <t>M8</t>
  </si>
  <si>
    <r>
      <rPr>
        <b/>
        <sz val="8"/>
        <color rgb="FF000000"/>
        <rFont val="Arial"/>
        <family val="2"/>
      </rPr>
      <t>Inaccurate production data reporting</t>
    </r>
    <r>
      <rPr>
        <sz val="8"/>
        <color rgb="FF000000"/>
        <rFont val="Arial"/>
        <family val="2"/>
      </rPr>
      <t xml:space="preserve"> - Manual data entry errors</t>
    </r>
  </si>
  <si>
    <t xml:space="preserve">1. Wrong management decisions - Poor decision-making regarding resource allocation, process optimization, overinvestment
2. Financial Losses - operational losses (inability to map damages), and misallocation of resources, </t>
  </si>
  <si>
    <t>1. Manual reporting verification - books used to report production per line. 
2. Implement real-time data collection (IoT sensors) - counters at the poingt of dividers.
3. Implement Internal Controls - production reconciliations, automated counters, waste analysis etc.</t>
  </si>
  <si>
    <r>
      <rPr>
        <b/>
        <sz val="8"/>
        <color rgb="FF000000"/>
        <rFont val="Arial"/>
        <family val="2"/>
      </rPr>
      <t xml:space="preserve">ICT </t>
    </r>
    <r>
      <rPr>
        <sz val="8"/>
        <color rgb="FF000000"/>
        <rFont val="Arial"/>
        <family val="2"/>
      </rPr>
      <t>- Information, Communicatiuon and Technology</t>
    </r>
  </si>
  <si>
    <t>IT1</t>
  </si>
  <si>
    <r>
      <rPr>
        <b/>
        <sz val="8"/>
        <color rgb="FF0A0A0A"/>
        <rFont val="Arial"/>
        <family val="2"/>
      </rPr>
      <t>Failure to have an Integrated ERP System</t>
    </r>
    <r>
      <rPr>
        <sz val="8"/>
        <color rgb="FF0A0A0A"/>
        <rFont val="Arial"/>
        <family val="2"/>
      </rPr>
      <t xml:space="preserve"> -</t>
    </r>
    <r>
      <rPr>
        <sz val="8"/>
        <color rgb="FF0A0A0A"/>
        <rFont val="Arial"/>
        <family val="2"/>
      </rPr>
      <t xml:space="preserve"> When an organization's various ICT systems (e.g., CRM, ERP, inventory, finance, production, procurement) operate in isolation (data silos),</t>
    </r>
  </si>
  <si>
    <t>1. Business Systems Availability
2. Network Uptime
3. Systems Security Compliance
4. System scalability and integration</t>
  </si>
  <si>
    <t>1. Data inconsistency and scattered data - Without a single source of truth, the same data (e.g., customer information) may exist in different systems in different formats, making it difficult to determine which version is correct and reliable.
2. Revenue leakage - gaps that lead to revenue leakage, manifesting in various forms, from misinvoicing to lost sales opportunities.
3. Billing errors (delayed or inaccurate invoicing), missed sales opportunities, inventory overstocking and stockouts etc.
4. Increased operational costs and inefficiencies - manual processes, such as re-entering data from one system to another, which is time-consuming, labor-intensive, and prone to human error.
5. Delayed and poor decision-making - lack real-time, comprehensive visibility across all operations. Inconsistent or outdated data.
6. Hindered /stagnant innovation and agility - Fragmented systems make it difficult to  leverage advanced analytics (like AI) because aggregating the necessary data is complex and time-consuming. Inability to leverage advanced analytics, Barrier to innovation (IA, automation, integrations).
7. Reactive Management - Due to poor system integration, end up addressing issues reactively rather than proactively, impairing their ability to capitalize on opportunities or mitigate risks.
8. Redundant Workflows - Separate teams may be verifying the same data, leading to duplicated tasks and an unnecessary allocation of resources.
9. Time Lag in Data Retrieval - Manually pulling data from different systems is time-consuming and prone to errors, making businesses slow to respond to changing market dynamics.</t>
  </si>
  <si>
    <r>
      <rPr>
        <b/>
        <sz val="8"/>
        <color rgb="FF000000"/>
        <rFont val="Arial"/>
        <family val="2"/>
      </rPr>
      <t xml:space="preserve">a) Invest in enterprise-wide integration, </t>
    </r>
    <r>
      <rPr>
        <sz val="8"/>
        <color rgb="FF000000"/>
        <rFont val="Arial"/>
        <family val="2"/>
      </rPr>
      <t xml:space="preserve">
1. Choose Scalable Integration Platforms: Select solutions that can scale with your business growth, accommodating new systems and evolving requirements.
2. Prioritize Cloud-Based Integration: Cloud-based platforms offer flexibility, quicker deployment, and lower upfront costs compared to on-premises solutions.
b) </t>
    </r>
    <r>
      <rPr>
        <b/>
        <sz val="8"/>
        <color rgb="FF000000"/>
        <rFont val="Arial"/>
        <family val="2"/>
      </rPr>
      <t>Adopt a comprehensive data management strategy</t>
    </r>
    <r>
      <rPr>
        <sz val="8"/>
        <color rgb="FF000000"/>
        <rFont val="Arial"/>
        <family val="2"/>
      </rPr>
      <t xml:space="preserve">
1. Implement Data Governance: Prioritize practices that ensure data consistency across all integrated systems.
2. Overcoming problems with siloed systems. 
c) </t>
    </r>
    <r>
      <rPr>
        <b/>
        <sz val="8"/>
        <color rgb="FF000000"/>
        <rFont val="Arial"/>
        <family val="2"/>
      </rPr>
      <t>Strengthen change management and training programs</t>
    </r>
    <r>
      <rPr>
        <sz val="8"/>
        <color rgb="FF000000"/>
        <rFont val="Arial"/>
        <family val="2"/>
      </rPr>
      <t xml:space="preserve">
1. No integration initiative can succeed without the right change management strategy.
</t>
    </r>
  </si>
  <si>
    <t>IT2</t>
  </si>
  <si>
    <r>
      <t xml:space="preserve">System unavalability - </t>
    </r>
    <r>
      <rPr>
        <sz val="8"/>
        <color rgb="FF000000"/>
        <rFont val="Arial"/>
        <family val="2"/>
      </rPr>
      <t>Excessive system downtime.</t>
    </r>
  </si>
  <si>
    <t>1. Capacity limitations - Service unavailability due to demand for a service exceeding the available network or system capacity, even if the network is otherwise functioning properly.
2. Disaster Recovery and Business Continuity - Operational disruption, financial losses, prolonged system downtime. etc
3. Business interruption - The inability to access critical systems, data, and communication channels brings daily operations to a halt, leading to lost productivity and inefficiencies across the organization.</t>
  </si>
  <si>
    <t>1. Dual ISP (Internet service provider) connections, regular equipment checks, monitoring tools
2. Setup an additional server to be hosted on the DR site that will be replicating data across on real time for all (AD, Weigh Master, PI and Paymaster) mission critical business systems &amp; applications.
3. Cloud backup of the applications &amp; databases
4. Maintenance of alternative power supply
5. Routely schedule maintenance of the data power backups e.g. replacement of faulty/old UPS batteries</t>
  </si>
  <si>
    <t>IT3</t>
  </si>
  <si>
    <r>
      <rPr>
        <b/>
        <sz val="8"/>
        <color rgb="FF0A0A0A"/>
        <rFont val="Arial"/>
        <family val="2"/>
      </rPr>
      <t>Security Risks -</t>
    </r>
    <r>
      <rPr>
        <sz val="8"/>
        <color rgb="FF0A0A0A"/>
        <rFont val="Arial"/>
        <family val="2"/>
      </rPr>
      <t xml:space="preserve"> </t>
    </r>
    <r>
      <rPr>
        <sz val="8"/>
        <color rgb="FF0A0A0A"/>
        <rFont val="Arial"/>
        <family val="2"/>
      </rPr>
      <t xml:space="preserve">Cybersecurity Threats, (Malware and Viruses, Phishing and Scams, Hacking and Data Breaches, </t>
    </r>
  </si>
  <si>
    <t>1. Heightened vulnerability: System failures can expose vulnerabilities that cyber attackers can exploit. Ransomware attacks, in particular, often cause prolonged downtime while systems are locked or data is held hostage.
2. Compromised data integrity /Confidentiality: During a system failure or the subsequent recovery process, there is an increased risk of unauthorized access or manipulation of data. </t>
  </si>
  <si>
    <t>1. Isolate ICS (Industrial Control Systems) networks, regular patching, cybersecurity audits
2. To schedule routine IT Systems &amp; Infrastructure penetration testing to identify areas that are susceptible to attacks and immediately close them.
3. Continuous employee education on Cyber Security.
3. Harden external facing applications.
4. Proactive patch/update softwares whenever there are new releases from the vendors.</t>
  </si>
  <si>
    <t>IT4</t>
  </si>
  <si>
    <r>
      <t>Technical and Infrastructure Failures</t>
    </r>
    <r>
      <rPr>
        <sz val="8"/>
        <color rgb="FF0A0A0A"/>
        <rFont val="Arial"/>
        <family val="2"/>
      </rPr>
      <t>: Issues with hardware and software components can disrupt business continuity.</t>
    </r>
  </si>
  <si>
    <t>1. Hardware and software failure: Malfunctions or bugs in systems can lead to downtime and potential data loss if backups are not in place
2. Network and internet outages: Loss of connectivity interrupting service within the business and to external suppliers and customers, impacting critical operations like invoicing, emails and payaments systems.</t>
  </si>
  <si>
    <t>1. Isolate ICS (Industrial Control Systems) networks, regular patching, cybersecurity audits
2. Maintain a Disaster Recovery Site / Collocation Site
3. Control access to infrastructure.</t>
  </si>
  <si>
    <t>IT5</t>
  </si>
  <si>
    <r>
      <t xml:space="preserve">Data Loss or Corruption: </t>
    </r>
    <r>
      <rPr>
        <sz val="8"/>
        <color rgb="FF0A0A0A"/>
        <rFont val="Arial"/>
        <family val="2"/>
      </rPr>
      <t>Lack of backups, hardware failure, accidental deletion</t>
    </r>
  </si>
  <si>
    <t>1. Disrupted business functions: Data is critical for day-to-day operations, and its loss can halt processes, lead to missed deadlines, and reduce efficiency.
2. Financial risks: Recovery costs, lost revenue, unbudgeted expenses
3. Increased downtime: Recovering lost data requires time and resources, causing unplanned downtime and interrupting normal business activities.
4. Legal and compliance risks: Regulatory fines (Data protection breaches), Lawsuits from partners (Customers, vendors etc)</t>
  </si>
  <si>
    <t>1. Schedule automated backups, test recovery procedures, use cloud storage
2. Setup an additional server to be hosted on the DR site that will be replicating data across on real time for all (AD, Weigh Master, PI and Paymaster) mission critical business systems &amp; applications.</t>
  </si>
  <si>
    <t>IT6</t>
  </si>
  <si>
    <r>
      <rPr>
        <b/>
        <sz val="8"/>
        <rFont val="Arial"/>
        <family val="2"/>
      </rPr>
      <t xml:space="preserve">Unauthorized Access to Systems - </t>
    </r>
    <r>
      <rPr>
        <sz val="8"/>
        <rFont val="Arial"/>
        <family val="2"/>
      </rPr>
      <t>Weak passwords, shared accounts, lack of access controls</t>
    </r>
  </si>
  <si>
    <t>1. Data and information risks: Data breaches and theft (exfiltrate sensitive data such as customer records), Identity theft (steal user identities to perform fraudulent activities). 
2. Sabotage: Systems can be intentionally sabotaged or defaced, causing further damage.  
3. Legal and regulatory consequences, and reputational damage: Breaches can result in violations of regulations like Data Protection Act leading to substantial fines and legal battles.
4. Physical damage or injury: Unauthorized access to connected devices or physical locations could lead to physical damage or endanger workers' safety. </t>
  </si>
  <si>
    <t>1. Enforce password policies, role-based access control, log monitoring, use of personal devices like USB disks.
2. Implement user activity monitoring, enforce data usage policies.
3. Need to document and enforce proper segregation of duties on all Business Systems and Applications</t>
  </si>
  <si>
    <t>IT7</t>
  </si>
  <si>
    <t>Loss of IT Personnel / Skills Gap</t>
  </si>
  <si>
    <t xml:space="preserve">1. Operational and productivity risks: Operational disruption and issues resolution delays, loss of institutional knowledge (often undocumented knowledge about an organization's specific systems, infrastructure, and processes, creating critical knowledge gaps that are difficult to fill), 
2. Security and Compliance risks, and Regulatory issues: Heightened security vulnerabilities (lack of skilled cybersecurity professionals leaves organizations vulnerable to sophisticated cyber threats), </t>
  </si>
  <si>
    <t>1. Upskilling and training programs for existing staff, fostering a culture of continuous learning and knowledge sharing,
2. Developing robust succession plans for key roles. 
3. Outsource critical support.</t>
  </si>
  <si>
    <r>
      <rPr>
        <b/>
        <sz val="8"/>
        <color rgb="FF000000"/>
        <rFont val="Arial"/>
        <family val="2"/>
      </rPr>
      <t xml:space="preserve">Finance </t>
    </r>
    <r>
      <rPr>
        <sz val="8"/>
        <color rgb="FF000000"/>
        <rFont val="Arial"/>
        <family val="2"/>
      </rPr>
      <t>- Account, Management Account Reports, Invoicing, Creditors and Customers</t>
    </r>
  </si>
  <si>
    <t>F1</t>
  </si>
  <si>
    <t>Working capital financing &amp; liquidity risks</t>
  </si>
  <si>
    <t>1. Optimal working capital management
2. Long term financing
3. Profitability and credit risk (proper strategy execution &amp; Adequate business performance management)
4. Foreign exchange fluctuations
5. Management &amp; financial reporting
6. Compliance with law
7. Internal controls</t>
  </si>
  <si>
    <t>1. Unable to obtain short term (12 months) affordable funding: due to changing adverse market conditions such as the recent decline in lending by the commercial banks as a result of the law capping interest rates
2. Inability to meet covenant obligation: The company has struggled / or may struggle to meet short term (12 month) debt/overdraft covenant obligations with banks/suppliers
3. Maturity mismatch:  liabilities have a shorter maturity than its assets, creating a potential cash shortage if assets cannot be converted into cash quickly.
4. Asset illiquidity: A company may hold assets that are difficult to sell quickly without a significant loss in value
5. High interest rates: Working capital loans, may  come with higher interest rates due to lenders perceived higher sector risk.
6. Dependence on a Single Funding Source: Overreliance on one bank or financier, Cash flow crisis if funding is withdrawn.</t>
  </si>
  <si>
    <t>1. Engagement of a financial consultant for advise on the most optimal financing mix from a cost and taxation perspective and also for negotiation with financial institutions. 
2. Continuous discussions with current and other financiers for funding prospects for this project. 
3. Raising additional capital from private equity investors.</t>
  </si>
  <si>
    <t>F2</t>
  </si>
  <si>
    <t>Define optimal financing mix for capacity expansion projects.</t>
  </si>
  <si>
    <r>
      <t>1. Agency costs and control issues:</t>
    </r>
    <r>
      <rPr>
        <sz val="8"/>
        <color rgb="FF0A0A0A"/>
        <rFont val="Arial"/>
        <family val="2"/>
      </rPr>
      <t> Equity financing dilutes control, which may be a risk for existing management or founders. Debt financing often comes with restrictive covenants imposed by lenders, which can limit management's operational and strategic decision-making power.
2. Forecasting and estimation errors:  "optimal" mix relies heavily on forecasts and assumptions about future market conditions, interest rates, and project cash flows.
3. Operational disruptions: An inability to secure sufficient or appropriate long-term financing can lead to delays in project implementation, increased costs, or a failure to complete the expansion project altogether.
4. Reduced financial flexibility: A heavily leveraged company has less capacity to borrow additional funds when needed for unexpected opportunities or challenges, hindering future growth opportunities and the ability to react to market changes,</t>
    </r>
  </si>
  <si>
    <r>
      <t xml:space="preserve">1. Aggressive collection of outstanding receivables. 
2. Strict adherence to credit policy. 
3. Restructuring </t>
    </r>
    <r>
      <rPr>
        <sz val="8"/>
        <color rgb="FFFF0000"/>
        <rFont val="Arial"/>
        <family val="2"/>
      </rPr>
      <t>the debt currency in view of the volatile dollar exchange rate.</t>
    </r>
    <r>
      <rPr>
        <sz val="8"/>
        <color rgb="FF0A0A0A"/>
        <rFont val="Arial"/>
        <family val="2"/>
      </rPr>
      <t xml:space="preserve"> 
4. Negotiate debts into local currency to avoid exchange rate vulatility.</t>
    </r>
  </si>
  <si>
    <t>F3</t>
  </si>
  <si>
    <t>Failure to achieve budgeted profit</t>
  </si>
  <si>
    <t>1. Reduced Cash Flow: Cash flow shortages, making it difficult to cover day-to-day operational expenses.
2. Difficulty securing funding: Poor financial performance makes the company appear high-risk to lenders and investors.
3. Increased costs: Inefficiencies and the need for corrective actions to address the shortfall can lead to higher operational costs, further draining financial resources. 
4. Loss of competitive advantage: Inability to invest in innovation, research and development, or new market opportunities can cause a company to fall behind competitors.</t>
  </si>
  <si>
    <t>1. Recruitment of key distrobutors and engaging them on the basis of sales targets, marketing and brand awareness campaigns and
2. Diversification of the market, products etc.  
3. Costs to be managed through various cost management initiatives such as the mix ratio improvement and adherance to budgeted costs per cost center.
4. Target new markets to grow sales.</t>
  </si>
  <si>
    <t>F4</t>
  </si>
  <si>
    <r>
      <rPr>
        <b/>
        <sz val="8"/>
        <rFont val="Arial"/>
        <family val="2"/>
      </rPr>
      <t>Credit risk -</t>
    </r>
    <r>
      <rPr>
        <sz val="8"/>
        <rFont val="Arial"/>
        <family val="2"/>
      </rPr>
      <t xml:space="preserve"> customers defaulting on their obligations.</t>
    </r>
  </si>
  <si>
    <t>1. Cash Flow disruption: Late or missed payments from customers can disrupt a company's cash flow, making it difficult to meet its own obligations,
2. Increased collection costs: Spending additional time and money on debt recovery efforts, which can include legal fees and the internal costs of dedicated collections staff.
3. Operational and strategic limitations: High credit risk forcing  company to adopt to a more conservative approach, limiting its ability to pursue new growth opportunities, or expand into new markets.
4. Financial losses:  loss of principal (the amount owed) and potential lost interest or revenue. The "bad debts" or non-performing accounts that must be written off if they cannot be recovered.</t>
  </si>
  <si>
    <r>
      <t xml:space="preserve">1. Develepoment and implementtaion of a Credit Policy.
2. Approval of credit by the credit committee. 
3. Automated controls to ensure customers do not exceed the approved limits.
4. Provision of </t>
    </r>
    <r>
      <rPr>
        <sz val="8"/>
        <color rgb="FFFF0000"/>
        <rFont val="Arial"/>
        <family val="2"/>
      </rPr>
      <t xml:space="preserve">bank guarantees </t>
    </r>
    <r>
      <rPr>
        <sz val="8"/>
        <color rgb="FF0A0A0A"/>
        <rFont val="Arial"/>
        <family val="2"/>
      </rPr>
      <t>by customers before credit is granted to them.</t>
    </r>
  </si>
  <si>
    <t>F5</t>
  </si>
  <si>
    <r>
      <rPr>
        <b/>
        <sz val="8"/>
        <rFont val="Arial"/>
        <family val="2"/>
      </rPr>
      <t>Exchange/Interest rate volatility /Fluctuations</t>
    </r>
    <r>
      <rPr>
        <sz val="8"/>
        <rFont val="Arial"/>
        <family val="2"/>
      </rPr>
      <t xml:space="preserve"> - Adverse fluctuations in foreign currency exchange rates, threatening the company's profitability through exchange losses.</t>
    </r>
  </si>
  <si>
    <t>1. Transaction risk: The risk that the value of a future payment or receipt will change due to currency fluctuations.
2. Reduced profitability: Exporters may see lower profits if their domestic currency appreciates, while importers face higher costs if their domestic currency depreciates.
3. Supply chain disruption: Volatility can lead to rising costs for imported materials, squeezing profit margins. 
4. Economic risk: A broader risk that the exchange rate volatility could negatively impact a company's future cash flows and overall competitiveness.</t>
  </si>
  <si>
    <t>1. Denominate payments and other liabilities into local currency. - Especially local vendors.
2. Minimize on the imported quantities if locally available.
3. Negotiate in large quantities to earn discounted price.</t>
  </si>
  <si>
    <t>F6</t>
  </si>
  <si>
    <r>
      <t xml:space="preserve"> Fraud risks -</t>
    </r>
    <r>
      <rPr>
        <sz val="8"/>
        <rFont val="Arial"/>
        <family val="2"/>
      </rPr>
      <t xml:space="preserve"> internal and external fraud</t>
    </r>
  </si>
  <si>
    <t>1. Financial risks: Direct loss to the company assets, inceased cost on controls implementation, cost to investigate fraud, 
2. Reputational and operational risks: Reputational damage (erodes trust with customers, partners etc), Operational disruption during investigation, can create a toxic work environment and lower staff morale.</t>
  </si>
  <si>
    <r>
      <t>1. Implement controls:</t>
    </r>
    <r>
      <rPr>
        <sz val="8"/>
        <color rgb="FF0A0A0A"/>
        <rFont val="Arial"/>
        <family val="2"/>
      </rPr>
      <t xml:space="preserve"> Established strong internal controls and oversight to prevent and detect fraud.
2. </t>
    </r>
    <r>
      <rPr>
        <b/>
        <sz val="8"/>
        <color rgb="FF0A0A0A"/>
        <rFont val="Arial"/>
        <family val="2"/>
      </rPr>
      <t>Fostering a strong culture</t>
    </r>
    <r>
      <rPr>
        <sz val="8"/>
        <color rgb="FF0A0A0A"/>
        <rFont val="Arial"/>
        <family val="2"/>
      </rPr>
      <t>: Build a culture of integrity and accountability to reduce the likelihood of fraud.
3. Period fraud risk assessment.</t>
    </r>
  </si>
  <si>
    <t>F7</t>
  </si>
  <si>
    <r>
      <rPr>
        <b/>
        <sz val="8"/>
        <rFont val="Arial"/>
        <family val="2"/>
      </rPr>
      <t xml:space="preserve">Inaccurate Financial Reporting - </t>
    </r>
    <r>
      <rPr>
        <sz val="8"/>
        <rFont val="Arial"/>
        <family val="2"/>
      </rPr>
      <t>Data entry errors, lack of review, system errors, Misleading management decisions, audit qualifications</t>
    </r>
  </si>
  <si>
    <t>1. Misguided business decisions: Inaccurate data distorts a company's true financial position, affecting decisions(resource allocation, investments, budgeting, and strategic planning). 
2. Reputational damage and loss of trust: severely damage a company's credibility and reputation with investors, lenders, customers, and suppliers. 
3. Legal and regulatory penalties:  non-adherence to strict accounting standards (like GAAP or IFRS) and regulatory requirements leading to incoplete or unverifiable data from by the regulators like KRA.
4. Fraud and financial loss: Weak internal controls that allow inaccuracies to persist can create opportunities for deliberate financial fraud, such as the manipulation of records to inflate earnings or conceal liabilities.
5. Difficulty securing funding: Lenders and creditors use financial reports to evaluate a company's creditworthiness. Inaccurate reporting can make it difficult to demonstrate financial stability, hindering access to loans or credit lines. </t>
  </si>
  <si>
    <r>
      <rPr>
        <sz val="8"/>
        <color rgb="FF0A0A0A"/>
        <rFont val="Arial"/>
        <family val="2"/>
      </rPr>
      <t>1. Strong Internal Controls: Segregation of duties, Approval authority (clear and multi-level approval workflows), Documentation and record-keeping, 
2. Leveraging Technology: Integrated and automated accounting systems,</t>
    </r>
    <r>
      <rPr>
        <sz val="8"/>
        <color rgb="FF0A0A0A"/>
        <rFont val="Arial"/>
        <family val="2"/>
      </rPr>
      <t xml:space="preserve"> </t>
    </r>
    <r>
      <rPr>
        <sz val="8"/>
        <color rgb="FF0A0A0A"/>
        <rFont val="Arial"/>
        <family val="2"/>
      </rPr>
      <t>utilize reliable ERP and automate routine tasks, minimize manual data entry errors, and ensure consistency in recording and reporting.
3. Integrated Systems: Invest in integrated financial management systems that allow seamless data flow between different departments (e.g., sales, inventory, accounting) to avoid discrepancies and data mismatches. 
4. Reconciliations: Perform regular (monthly is a best practice) reconciliations of internal account balances with external sources, such as bank statements, vendor records, Stock balances to identify discrepancies promptly.</t>
    </r>
  </si>
  <si>
    <t>F8</t>
  </si>
  <si>
    <t>Non-Compliance with Tax Laws / Regulations</t>
  </si>
  <si>
    <t>1. Penalties and fines: Tax authorities impose hefty penalties for late filing, late payment, and underreporting of income. 
2. Audits and investigations: Comprehensive tax audits and investigations, which are costly and time-consuming, draining financial and human resources.
3. Legal issues like civil and criminal charges: Serious cases of non-compliance, particularly intentional tax evasion, can result in civil and criminal prosecution or Asset seizure and liens
4. Reputational and business risks: damage a business's reputation and public image, difficulty accessing financing, lose out on partnerships and opportunities.</t>
  </si>
  <si>
    <t>1.  Develop clear policies and procedures on tax administration.
2. Implement robust internal controls by establishing control activities and approval workflows to catch non-compliant transactions or errors early.
3. Conduct regular risk assessments and internal audits, reconciliations to identify potential errors, overlooked deductions, or alignment issues with current laws.
4. Provide ongoing training and education on tax laws, regulations and compliance.
5. Timely filing and payment.</t>
  </si>
  <si>
    <t>Effective</t>
  </si>
  <si>
    <t>F9</t>
  </si>
  <si>
    <r>
      <t xml:space="preserve">Weak in internal controls and governance Systems </t>
    </r>
    <r>
      <rPr>
        <sz val="8"/>
        <rFont val="Arial"/>
        <family val="2"/>
      </rPr>
      <t>may lead to fraudulent transactions being perpetrated unnoticed.</t>
    </r>
  </si>
  <si>
    <t>1. Fraud &amp; financial losses: A lack of proper controls provides opportunities for fraudulent activities, such as the override of existing controls or theft.
2. Financial misstatement: Weak controls can lead to errors in financial reporting, resulting in penalties and a loss of credibility.
3. Audit failures: A lack of effective internal controls will likely result in a failed external audit. 
4. Legal issues: Inadequate systems can result in compliance violations and legal action.
5. Inadequate Risk Assessment: Neglecting emerging risks and failure to put in place adequate control measure to arrst risks before cystalization leading to business exposure.</t>
  </si>
  <si>
    <t>1. Process-Oriented mitigations like implement strong segregation of duties (SoD), establish clear, documented procedures, perform regular reconciliations, conduct regular risk assessments, 
2. People-Oriented mitigations like enhanced employee training and awareness, foster a culture of compliance and ethics, 
3. Technology-Oriented Mitigations like process automation, system access controls (role-based access controls), automated alerts for anomalies.
4. Periodic risk assessment and review of the agreed mitigations.</t>
  </si>
  <si>
    <t>F10</t>
  </si>
  <si>
    <r>
      <t xml:space="preserve">Inaccurate Stock Records (Overstatement or Shortage) &amp; (Overstocking / Understocking) - </t>
    </r>
    <r>
      <rPr>
        <sz val="8"/>
        <rFont val="Arial"/>
        <family val="2"/>
      </rPr>
      <t>Manual errors, poor data entry, lack of regular stocktake, Manipulation of Stock Records, Collusion between staff, weak controls.</t>
    </r>
  </si>
  <si>
    <t xml:space="preserve">1. Financial misstatements - incorrect tax liabilities and potential compliance issues or scrutiny during audits. 
2. Tied-Up Working Capital - Excess inventory locks up cash.
3. Obsolescence and Spoilage - risk of becoming obsolete (e.g., outdated technology)
4. Production delays - Operational inefficiencies, fulfillment delays and increased labor costs 
5. Distorted reporting - </t>
  </si>
  <si>
    <t xml:space="preserve">1. Clear Organization and Labeling - Stock cards, bin labels
2. Automate inventory system - integrate ordering, receiving, issuance for ease of tracking.
3. Regular Inventory Counts - Cycle counting (high-value or fast-moving items), conduct monthly stock reconciliations.
4. Segregation of Duties - Separate the responsibilities of physically handling from those who record the inventory data.
5. Access Control and Security - Restrict access to inventory storage areas to authorized personnel.
</t>
  </si>
  <si>
    <t>F11</t>
  </si>
  <si>
    <r>
      <t xml:space="preserve">Theft or Pilferage of Stock - </t>
    </r>
    <r>
      <rPr>
        <sz val="8"/>
        <rFont val="Arial"/>
        <family val="2"/>
      </rPr>
      <t>Weak supervision, poor access control, collusion</t>
    </r>
  </si>
  <si>
    <t>1. Financial losses &amp; Cash flow problems 
2. Inventory inaccuracies and stockouts - leading to "phantom inventory".</t>
  </si>
  <si>
    <t>1. Surveillance - Install visible CCTV cameras in strategic locations.
2. Segregate duties- e.g., ordering and receiving.
3. Access Control - Restrict access to stockrooms, warehouses, and high-value product areas.
4. Conduct surprise audits &amp; clear policies.
5. Inventory Management Systems - Use real-time inventory tracking technology.</t>
  </si>
  <si>
    <t>F12</t>
  </si>
  <si>
    <r>
      <t xml:space="preserve">Stock-Outs of Critical Materials/Spares/Consumables - </t>
    </r>
    <r>
      <rPr>
        <sz val="8"/>
        <rFont val="Arial"/>
        <family val="2"/>
      </rPr>
      <t>Delayed supplier deliveries, poor reorder tracking</t>
    </r>
  </si>
  <si>
    <t>1. Production halt -  Disruptions, equipment failure and extended, expensive downtime,
2. Supply chain disruptions - poor planning or unreliable suppliers.
3. Loss of market position - Competitors capture the market share lost.</t>
  </si>
  <si>
    <t>1. Accurate demand forecasting: Use historical data, market trends, and predictive analytics 
2. Establish Safety Stock- Minimum stock level monitoring (buffer of extra inventory).
3. Regular inventory Audits &amp; cycle counting - physical checks (cycle counts).
4. Supplier Diversification - dual-sourcing for key components.</t>
  </si>
  <si>
    <t>F13</t>
  </si>
  <si>
    <r>
      <t xml:space="preserve">Lack of Inventory Management System </t>
    </r>
    <r>
      <rPr>
        <sz val="8"/>
        <rFont val="Arial"/>
        <family val="2"/>
      </rPr>
      <t>- manual recording, errors and distorted data silos</t>
    </r>
  </si>
  <si>
    <t>1. Disrupted operations - Stockouts and stoppages, lost sales. Theft and damage
2. Operational inefficiencies - Inaccurate forecasting, ineffective decision-making, Warehouse disorganization etc
3. Spoilage and obsolescence - Overstocking can lead to products expiring or becoming outdated.</t>
  </si>
  <si>
    <t>1. Implement inventory control techniques &amp; Centralize information
2. Upgrade systems and automate</t>
  </si>
  <si>
    <t>F14</t>
  </si>
  <si>
    <r>
      <rPr>
        <b/>
        <sz val="8"/>
        <rFont val="Arial"/>
        <family val="2"/>
      </rPr>
      <t>Unauthorized Access to Store</t>
    </r>
    <r>
      <rPr>
        <sz val="8"/>
        <rFont val="Arial"/>
        <family val="2"/>
      </rPr>
      <t xml:space="preserve"> -  Poor security, shared keys, no visitor logs</t>
    </r>
  </si>
  <si>
    <t>1. Theft and Financial Loss - Intruders may steal high-value inventory, equipment,
2. Safety and Security Concerns - risk of accidents and injuries
3. Vandalism and Property Damage - Intruders may cause intentional damage to the physical building, fixtures, or merchandise,</t>
  </si>
  <si>
    <t>1. Physical Security Measures - Perimeter protection, store layout, secure sensitive areas.
2. Restricted entry policy.
3. Introduce electronic access control and CCTV coverage to high value item store area.</t>
  </si>
  <si>
    <t>F15</t>
  </si>
  <si>
    <r>
      <rPr>
        <b/>
        <sz val="8"/>
        <rFont val="Arial"/>
        <family val="2"/>
      </rPr>
      <t>Poor Interdepartmental Coordination</t>
    </r>
    <r>
      <rPr>
        <sz val="8"/>
        <rFont val="Arial"/>
        <family val="2"/>
      </rPr>
      <t xml:space="preserve"> - Communication breakdown with procurement, finance, or production.
Lack of a designated store keeper and decentralized storage locations.</t>
    </r>
  </si>
  <si>
    <t>1. Reduced productivity and efficiency - Delays, wasted time, tension, poor service delivery
2. Duplication of effort - Departments operating in silos often unknowingly work on the same tasks, wasting valuable resources and time.
3. Inefficient resource utilization - Without a clear overview of resource status.
4. Silo mentality and resistance to change - develop an "us versus them" or "that's not my job" mindset, resisting collaboration.</t>
  </si>
  <si>
    <t>1. Implement integrated ERP communication
2. Centalized store with a designated store keeper
3. Fostering a collaborative culture - Promote a shared purpose, leadership by example.
4. Define clear roles and responsibilities - and authority of each department to avoid overlap and confusion.</t>
  </si>
  <si>
    <t>Human Resources management &amp; Legal</t>
  </si>
  <si>
    <t>HR1</t>
  </si>
  <si>
    <r>
      <t xml:space="preserve">Inaccurate Payroll Processing - </t>
    </r>
    <r>
      <rPr>
        <sz val="8"/>
        <color rgb="FF000000"/>
        <rFont val="Arial"/>
        <family val="2"/>
      </rPr>
      <t>Payroll errors, weak controls and related payroll fraud risk</t>
    </r>
  </si>
  <si>
    <t>1.Equilibrium in company Human resources
2. Talent Management
3.  Outsourcing &amp; partnering
4. Industrial Relations
5. Payrol management
6. Legal and compliance</t>
  </si>
  <si>
    <t>1. Payroll fraud: range from internal fraud, like an employee submitting false timecards/timesheet or ghost employees, to embezzlement and overrated overtime.
2. Time theft: Employees falsifying their timesheets, overtime can lead to a quiet drain on company resources.
3. Fraudulent overtime processing: stage managed duty rotas and clocking time adjustments.
4. Static data changes: Unauthorized changes done on paypoint, based pays and other details.</t>
  </si>
  <si>
    <t>1. Change Authorization on employee records (e.g., salary adjustments, bank details, marital status).
2. Segregation of Duties for payroll functions (e.g., data entry, calculation, and payment authorization).
3. Verification procedures to verify timesheets, overtime hours, and expense reports, ideally through manager sign-off or automated systems. 
4. Automated payroll systems to transition from manual, paper-based processes to automated systems to reduces human error in calculations and data entry.
5. Restricted access  to limit access to payroll systems and physical records to only authorized personnel with specific job responsibilities (role-based access control).
6 Reconciliations and independent verifications.</t>
  </si>
  <si>
    <t>HR2</t>
  </si>
  <si>
    <r>
      <t>Industrial / Labour Disputes -</t>
    </r>
    <r>
      <rPr>
        <sz val="8"/>
        <rFont val="Arial"/>
        <family val="2"/>
      </rPr>
      <t xml:space="preserve"> unfair labour practices, Unprocedural disciplinary actions, Weak human resource policies or inconsistent enforcement.</t>
    </r>
  </si>
  <si>
    <t xml:space="preserve">1. Disruption of operations: Strikes and industrial action can lead to significant work stoppages.
2. Financial losses:  direct financial losses from decreased productivity, lost revenue.
3. Unfair dismissal claims: Employer fail to follow due process, as outlined in the Employment Act 2007, when terminating employees or handling misconduct cases, face claims of unfair dismissal.
4. Legal/ Court orders: binding orders such as compelling the implementation of a CBA, granting compensation, or ordering reinstatement of employees. 
5. Strained Labour-Management Relations: Disputes often lead to increased tension and mistrust between workers and management, making future collaboration and negotiations difficult.
</t>
  </si>
  <si>
    <r>
      <t>1. Implementing CBAs on time, strengthening labour law enforcement,
2. Clear policies and procedures, including disciplinary procedures, a code of conduct, and grievance-handling mechanisms.
3. Regular Training on labor laws, workplace ethics, conflict resolution, and safety protocols.
4. Documentation which is accurate, complete, and current, including contracts,</t>
    </r>
    <r>
      <rPr>
        <sz val="8"/>
        <color rgb="FFFF0000"/>
        <rFont val="Arial"/>
        <family val="2"/>
      </rPr>
      <t xml:space="preserve"> performance reviews,</t>
    </r>
    <r>
      <rPr>
        <sz val="8"/>
        <color rgb="FF000000"/>
        <rFont val="Arial"/>
        <family val="2"/>
      </rPr>
      <t xml:space="preserve"> and disciplinary actions, to provide a clear history in case of a dispute.</t>
    </r>
  </si>
  <si>
    <t>HR3</t>
  </si>
  <si>
    <r>
      <t xml:space="preserve">Non-Compliance with Labour Laws / Regulations </t>
    </r>
    <r>
      <rPr>
        <sz val="8"/>
        <rFont val="Arial"/>
        <family val="2"/>
      </rPr>
      <t>- HR policies and procedures, Managers bypassing HR, Weak internal controls</t>
    </r>
  </si>
  <si>
    <t>1. Lawsuits: Non-compliant practices.
2. Negative publicity: Lawsuits, fines, or public exposure.
3. Business disruption: Lawsuits and disputes can cause significant operational disruptions and divert valuable time and resources from core business activities. </t>
  </si>
  <si>
    <t>1. Establish a robust compliance framework - written policies and procedures that align with all applicable  labour laws. 
2. Conduct regular audits and Risk Assessments on HR, payroll, and safety practices to identify compliance gaps and potential risks.
3.  Accurate and up-to-date documentation of employee details, contracts, working hours, leave, pay, and disciplinary actions etc
4. HR legal consultation.</t>
  </si>
  <si>
    <t>HR4</t>
  </si>
  <si>
    <r>
      <t xml:space="preserve">Skills Gap / Inadequate Staff Competence - </t>
    </r>
    <r>
      <rPr>
        <sz val="8"/>
        <rFont val="Arial"/>
        <family val="2"/>
      </rPr>
      <t>Lack of training, succession planning, poor recruitment and talent management practices</t>
    </r>
  </si>
  <si>
    <t>1. Operational and reduced productivity: Poor quality of work, delays and failures, increased safety and compliance issues, 
2. Financial risks and costs: Inflated labor costs, inefficient operations, errors, and missed sales opportunities, 
3. Strategic and Reputational Risks: Hindered innovation and adaptability. 
4. Human Capital Risks: Gaps in leadership development and loss of institutional knowledge, increased employee turnover (Employees who feel underprepared, unsupported).</t>
  </si>
  <si>
    <t>1. Conduct training needs analysis, and implement capacity-building programs.
2. Invest in training and upskilling/Reskilling Programs - customized programs tailored to address the specific skill deficiencies.
3. Promote cross-training and talent mobility - learn different roles and gain experience across various departments
4. Succession planning and skill mapping.
5. Targeted recruitment - recruit new talent with the specific expertise needed.</t>
  </si>
  <si>
    <t>HR5</t>
  </si>
  <si>
    <r>
      <t xml:space="preserve">Unethical Recruitment Practices - </t>
    </r>
    <r>
      <rPr>
        <sz val="8"/>
        <rFont val="Arial"/>
        <family val="2"/>
      </rPr>
      <t>Nepotism, bias, inadequate background checks</t>
    </r>
  </si>
  <si>
    <t>1. High Turnover: A toxic recruitment environment.
2. Bad Hires: unqualified or unsuitable candidate, extremely expensive, with costs including training, lost productivity, etc.
3. Operational inefficiency - Unethical behavior and low morale among existing employees, decreased productivity and cr dysfunctional workplace culture.
4. Corruption and fraud Risks - Unethical hires with bad background.</t>
  </si>
  <si>
    <t>1. Standardize recruitment process, use interview panels, perform reference checks 
2. Established  Clear Code of Ethics and Conduct: outlines the company's values, expected standards of behavior, and a strict anti-bribery policy to prevent issues like nepotism, favoritism, or corruption.
3. Documented decisions and Audit processes maintained for all hiring decisions and regularly review hiring data and metrics.</t>
  </si>
  <si>
    <t>HR6</t>
  </si>
  <si>
    <r>
      <t xml:space="preserve">Data Privacy / Confidentiality Breach (Employee Records) - </t>
    </r>
    <r>
      <rPr>
        <sz val="8"/>
        <rFont val="Arial"/>
        <family val="2"/>
      </rPr>
      <t>Weak IT security, mishandling of personal data</t>
    </r>
  </si>
  <si>
    <t xml:space="preserve">1. Breach of privacy laws, reputational harm, data loss.
2. Misuse of information: disclose confidential company information like payroll details.
3. Unauthorised disclosure: intentionally or unintentionally, share confidential information with competitors or the public. </t>
  </si>
  <si>
    <t>1. Restrict data access - Secure storage of records in locked cabinets or secure areas with restricted access.
2. Access Controls: strict, role-based access controls (RBAC) to ensure employees only access the information necessary for their specific job functions (the principle of "least privilege")
3. Comprehensive policies and procedures on data usage, retention, access and secure disposal of records.
4. Clean Desk Policy - clear workspaces of all confidential documents at the end of the day.</t>
  </si>
  <si>
    <t>HR7</t>
  </si>
  <si>
    <r>
      <t xml:space="preserve">Low Employee Motivation / Engagement/Accountability - </t>
    </r>
    <r>
      <rPr>
        <sz val="8"/>
        <rFont val="Arial"/>
        <family val="2"/>
      </rPr>
      <t xml:space="preserve">Lack of recognition, unclear roles, overlapping roles
</t>
    </r>
  </si>
  <si>
    <t>1. Reduced productivity &amp; and efficiency - decline in work performance, and doing bare minimum.
2. Poorer quality of work and increased errors
3. Damaged team dynamics - negative and toxic work environment with increased conflicts, blame-shifting, and reduced collaboration.
4. Erosion of trust in leadership - unaddressed lack of accountabilityleads to lost faith in management and the organization's values.</t>
  </si>
  <si>
    <r>
      <t xml:space="preserve">1. Open and transparent communication: Established clear, two-way communication channels.
2. Recognize and reward achievements - formal and informal recognition programs (e.g., public praise, "employee of the month" awards, performance bonuses).
3. </t>
    </r>
    <r>
      <rPr>
        <sz val="8"/>
        <color rgb="FFFF0000"/>
        <rFont val="Arial"/>
        <family val="2"/>
      </rPr>
      <t xml:space="preserve">Clear expectations and goals - </t>
    </r>
    <r>
      <rPr>
        <sz val="8"/>
        <rFont val="Arial"/>
        <family val="2"/>
      </rPr>
      <t>performance standards and deadlines.
4. Use of data and metrics - performance management tools and KPIs to track progress and measure accountability objectively.</t>
    </r>
  </si>
  <si>
    <t>HR8</t>
  </si>
  <si>
    <r>
      <t xml:space="preserve">Poor Succession Planning - </t>
    </r>
    <r>
      <rPr>
        <sz val="8"/>
        <rFont val="Arial"/>
        <family val="2"/>
      </rPr>
      <t>Failure to identify and develop talent - Most workfoce is ageing with no new trained skill.</t>
    </r>
  </si>
  <si>
    <t>1. Leadership gaps, &amp; Operational disruption - sudden leadership vacancy causing a halt in initiatives.
2. Loss of institutional knowledge - invaluable knowledge, expertise, and relationships that are hard to replace.
3. Wrong candidate choice - In a crisis, rushed decisions lead to inadequately prepared hire not a good fit.
4. Conflict and internal competition - if no clear plan and fair process.</t>
  </si>
  <si>
    <t xml:space="preserve">1. Formalize the succession process - Develop a formal, documented plan with a clear roadmap, identify critical roles, and slign with business strategy.
2. Invest in development and knowledge transfer - Establish mentorship and coaching programs
3. Plan for emergencies - identify interim leaders for critical roles in case of sudden, unforeseen vacancies. </t>
  </si>
  <si>
    <t>HR9</t>
  </si>
  <si>
    <r>
      <t xml:space="preserve">Unclear job descriptions and overlapping roles - </t>
    </r>
    <r>
      <rPr>
        <sz val="8"/>
        <rFont val="Arial"/>
        <family val="2"/>
      </rPr>
      <t>Accountability, ownership and performance review hard to achieve.</t>
    </r>
  </si>
  <si>
    <t>1. Reduced productivity, inefficiency and lack of acccountability - Confusion over who is responsible, wasted time, duplicated efforts, missed deadlines
2. Reduced engagement and commitment - due to lack clarity on how their role contributes to the organization's goals
3. Difficulty with performance evaluation - performance reviews are unfair or biased
4. Ineffective resource allocation - wasted time and resources on mis-alligned tasks.</t>
  </si>
  <si>
    <t xml:space="preserve">1. Create detailed job descriptions - role has a well-documented description outlining its purpose, key responsibilities, expectations, and reporting structure.
2. Establish clear reporting lines - organizational chart to avoid confusion about decision-making authority and accountability. 
3. Regularly review and update roles - revisit and refine roles and responsibilities regularly to ensure they remain relevant and aligned with current needs. </t>
  </si>
  <si>
    <t>HR10</t>
  </si>
  <si>
    <r>
      <t xml:space="preserve">Legal and non-complince risk - </t>
    </r>
    <r>
      <rPr>
        <sz val="8"/>
        <rFont val="Arial"/>
        <family val="2"/>
      </rPr>
      <t>law suits, contractual breaches, product non-conformity and failure to comply with law and regulations</t>
    </r>
  </si>
  <si>
    <t>1. Financial penalties and losses - from regulatory bodies.
2. Legal liability - held legally responsible for harm caused by their non-compliance.
3. Operating Restrictions/Loss of License - impose restrictions on operations, bar from specific markets, or revoke licenses and certifications
4. Work Stoppages - halting production or service delivery.</t>
  </si>
  <si>
    <t>1. Establish a robust compliance program - a comprehensive, documented system of policies, procedures, and internal controls
2. Stay abreast of regulatory changes - tracking updates in relevant legal and regulatory areas.
3. Clear Compliance Register - outlining all areas of compliance, applicable law and status on compliance.</t>
  </si>
  <si>
    <t>HR11</t>
  </si>
  <si>
    <r>
      <t xml:space="preserve">Unprocedural staff dismissal - </t>
    </r>
    <r>
      <rPr>
        <sz val="8"/>
        <rFont val="Arial"/>
        <family val="2"/>
      </rPr>
      <t>Weak or incomplete HR policies and procedures.</t>
    </r>
  </si>
  <si>
    <t>1. Legal and financial risks - High litigation costs, penalties from labour courts, 
2. Operational Impact - Reduced morale and productivity, potential strikes or grievances.
3. Governance and compliance issues - Non-compliance with labour laws, weakening of internal controls and HR governance.</t>
  </si>
  <si>
    <t>1. Disciplinary procedure aligned with labour laws
2. Ensure procedural fairness - Inform the employee, provide opportunity to respond, consider the employee's response.
3. Offer an appeal process, seek legal counsel. 
4. Training for managers on employee relations.</t>
  </si>
  <si>
    <t>Sales and Marketing</t>
  </si>
  <si>
    <t>SM1</t>
  </si>
  <si>
    <r>
      <rPr>
        <b/>
        <sz val="8"/>
        <rFont val="Arial"/>
        <family val="2"/>
      </rPr>
      <t xml:space="preserve">Decline in Sales Volume </t>
    </r>
    <r>
      <rPr>
        <sz val="8"/>
        <rFont val="Arial"/>
        <family val="2"/>
      </rPr>
      <t xml:space="preserve">- Poor market intelligence, weak distribution, low product demand, shifts in consumer behavior, competitor activities (pricing etc). </t>
    </r>
  </si>
  <si>
    <t>1. Revenue and Profitability
2. Plant Capacity utilization and optimization.
3. Internal control, risk management and governance</t>
  </si>
  <si>
    <t>1. Reduced revenue and profitability - profit margins shrink, expenses increase.
2. Cash Flow Issues - potential liquidity risks.
3. Increased Costs (per unit) - fixed costs (like rent or salaries) remain the same while volume drops, impacting the break-even point.
4. Operational and Strategic Risks - Loss of market share, short-sighted decisions, such as across-the-board price cuts that further reduce margins without improving volume.</t>
  </si>
  <si>
    <r>
      <t xml:space="preserve">1. Sales monitoring reports, - thoroughly analysis of sales data to pinpoint the exact nature of the decline.
2. Periodic reviews - Monitor trends and competition to stay informed about economic shifts, new competitors, and industry developments.
</t>
    </r>
    <r>
      <rPr>
        <b/>
        <sz val="8"/>
        <color rgb="FF000000"/>
        <rFont val="Arial"/>
        <family val="2"/>
      </rPr>
      <t>Recomended</t>
    </r>
    <r>
      <rPr>
        <sz val="8"/>
        <color rgb="FF000000"/>
        <rFont val="Arial"/>
        <family val="2"/>
      </rPr>
      <t xml:space="preserve">
3. Conduct market research, - Understand customer behavior. Gather feedback through surveys.
4. Diversify products and regions - Reduce dependence on a single product line or market.</t>
    </r>
  </si>
  <si>
    <t>SM2</t>
  </si>
  <si>
    <r>
      <rPr>
        <b/>
        <sz val="8"/>
        <rFont val="Arial"/>
        <family val="2"/>
      </rPr>
      <t>Poor Sales Forecasting</t>
    </r>
    <r>
      <rPr>
        <sz val="8"/>
        <rFont val="Arial"/>
        <family val="2"/>
      </rPr>
      <t xml:space="preserve"> - Inaccurate data, lack of coordination between departments</t>
    </r>
  </si>
  <si>
    <t>1. Inventory Instability - Overstocking or stock-outs.
2. Cash flow strain  and crises
3. Poor budgeting and resource misallocation -Strategic decisions about spending, staffing, and investment are based on sales projections
4. Misguided strategy - such as new product launches or market expansions.</t>
  </si>
  <si>
    <r>
      <t xml:space="preserve">1. Monitor and adjust continuously - Forecast review meetings, analyze forecast errors (budget analysis).
2. ERP integration - Enhance data quality and collection
</t>
    </r>
    <r>
      <rPr>
        <b/>
        <sz val="8"/>
        <color rgb="FF000000"/>
        <rFont val="Arial"/>
        <family val="2"/>
      </rPr>
      <t>Recommended</t>
    </r>
    <r>
      <rPr>
        <sz val="8"/>
        <color rgb="FF000000"/>
        <rFont val="Arial"/>
        <family val="2"/>
      </rPr>
      <t xml:space="preserve">
3. Use data analytics - predictive analytics. 
4. Align forecasts with production plans.</t>
    </r>
  </si>
  <si>
    <t>SM3</t>
  </si>
  <si>
    <r>
      <rPr>
        <b/>
        <sz val="8"/>
        <rFont val="Arial"/>
        <family val="2"/>
      </rPr>
      <t>Aggressive Competitor Activity -</t>
    </r>
    <r>
      <rPr>
        <sz val="8"/>
        <rFont val="Arial"/>
        <family val="2"/>
      </rPr>
      <t xml:space="preserve"> Competitors’ price cuts, product innovation, promotions</t>
    </r>
  </si>
  <si>
    <t xml:space="preserve">1. Loss of market share - difficult to achieve potential growth and limits future revenue.
2. Reduced margins - forced price cuts to stay in market resulting in destructive price wars.
3. Increased operating costs - Higher advertising costs, higher sales incentives, </t>
  </si>
  <si>
    <r>
      <t xml:space="preserve">1. Deepen customer relationships &amp; loyalty - xceptional customer service and personalized experiences
2. Gather Competitive Intelligence - monitor market dynamics and competitor activities tracking, customer feedback.
</t>
    </r>
    <r>
      <rPr>
        <b/>
        <sz val="8"/>
        <rFont val="Arial"/>
        <family val="2"/>
      </rPr>
      <t>Recommended</t>
    </r>
    <r>
      <rPr>
        <sz val="8"/>
        <rFont val="Arial"/>
        <family val="2"/>
      </rPr>
      <t xml:space="preserve">
3. Develop competitive pricing strategy.
4. Brand repositioning.</t>
    </r>
  </si>
  <si>
    <t>SM4</t>
  </si>
  <si>
    <r>
      <rPr>
        <b/>
        <sz val="8"/>
        <rFont val="Arial"/>
        <family val="2"/>
      </rPr>
      <t>Credit Sales Default / Bad Debts</t>
    </r>
    <r>
      <rPr>
        <sz val="8"/>
        <rFont val="Arial"/>
        <family val="2"/>
      </rPr>
      <t xml:space="preserve"> - Poor customer vetting, weak credit control</t>
    </r>
  </si>
  <si>
    <t>1. Cash flow issues - liquidity shortage
2. Financial loss - Increased costs for debt recovery.
3. Lower business valuation - ecrease a company's net worth and overall valuation. 
4. Strategic and long-term risks - Reduced ability to grow &amp; jeopardized operations.</t>
  </si>
  <si>
    <r>
      <t xml:space="preserve">1. Robust Credit Assessment - thorough evaluation of customer's creditworthiness.
2. Credit policy &amp; credit limit approvals - Document clear guidelines with specific guidelines.
3. Clear invoicing and payment terms - accurate and promptly issued, and clearly state payment due dates and accepted payment methods
</t>
    </r>
    <r>
      <rPr>
        <b/>
        <sz val="8"/>
        <color rgb="FF000000"/>
        <rFont val="Arial"/>
        <family val="2"/>
      </rPr>
      <t xml:space="preserve">Recommended
</t>
    </r>
    <r>
      <rPr>
        <sz val="8"/>
        <color rgb="FF000000"/>
        <rFont val="Arial"/>
        <family val="2"/>
      </rPr>
      <t>Strengthen debtor management, regular credit reviews</t>
    </r>
  </si>
  <si>
    <t>SM5</t>
  </si>
  <si>
    <r>
      <rPr>
        <b/>
        <sz val="8"/>
        <rFont val="Arial"/>
        <family val="2"/>
      </rPr>
      <t>Loss or Manipulation of Sales Data</t>
    </r>
    <r>
      <rPr>
        <sz val="8"/>
        <rFont val="Arial"/>
        <family val="2"/>
      </rPr>
      <t xml:space="preserve"> - Weak IT security, system failures, misleading intents.</t>
    </r>
  </si>
  <si>
    <t>Loss of performance data, poor decisions</t>
  </si>
  <si>
    <t>Marginal</t>
  </si>
  <si>
    <t>CRM backups, restricted access
Cloud storage, automated data backup</t>
  </si>
  <si>
    <t>SM6</t>
  </si>
  <si>
    <r>
      <rPr>
        <b/>
        <sz val="8"/>
        <rFont val="Arial"/>
        <family val="2"/>
      </rPr>
      <t xml:space="preserve">Poor Brand Perception &amp; Ineffective Distribution Channels </t>
    </r>
    <r>
      <rPr>
        <sz val="8"/>
        <rFont val="Arial"/>
        <family val="2"/>
      </rPr>
      <t>- Negative reviews, inconsistent brand messaging. Poor logistics, unreliable partners.</t>
    </r>
  </si>
  <si>
    <t>1. Reduced customer loyalty &amp; trust - negative image or inconsistent messaging.
2. Revenue loss - due to decreased sales
3. Negative Word-of-Mouth and social media crises - viral spread of negative reviews and opinions online,
4. Failure to reach target market -  Product shortages, delayed deliveries</t>
  </si>
  <si>
    <t>1. Understand the root cause - Identify the specific source of the negative perception (e.g., poor product quality, bad customer service, an ethical issue)
2. Engage in social responsibility - Aligning brand with positive community initiatives. 
3. Regularly monitor and audit performance -  track key performance indicators (KPIs) for distribution channels.</t>
  </si>
  <si>
    <t>SM7</t>
  </si>
  <si>
    <r>
      <rPr>
        <b/>
        <sz val="8"/>
        <rFont val="Arial"/>
        <family val="2"/>
      </rPr>
      <t>Underperformance of Sales Team</t>
    </r>
    <r>
      <rPr>
        <sz val="8"/>
        <rFont val="Arial"/>
        <family val="2"/>
      </rPr>
      <t xml:space="preserve"> - Low motivation, poor supervision, unrealistic targets</t>
    </r>
  </si>
  <si>
    <t>1. Financial and operational risks - Revenue shortfalls, lost opportunities, reduced resources and strained cross-department relationships.
2. Customer and market risks - Weakened customer relationships and reduced market share.</t>
  </si>
  <si>
    <t>1. Define expectations (realistic target setting) - daily, weekly, and monthly expectations.
2. Performance appraisals - regular check-ins to understand their challenges, provide support, and review progress on goals.
3. Monitor leading indicators - Shift focus from lagging indicators (like revenue) to leading indicators (like calls or meetings booked) to proactively address performance issues. 
4. Incentives &amp; Reward - celebrate small wins.</t>
  </si>
  <si>
    <t>SM8</t>
  </si>
  <si>
    <r>
      <rPr>
        <b/>
        <sz val="8"/>
        <rFont val="Arial"/>
        <family val="2"/>
      </rPr>
      <t>High Marketing Expenditure with Low ROI</t>
    </r>
    <r>
      <rPr>
        <sz val="8"/>
        <rFont val="Arial"/>
        <family val="2"/>
      </rPr>
      <t xml:space="preserve"> - Ineffective campaigns, poor channel choice</t>
    </r>
  </si>
  <si>
    <t>1. Financial Risks - Wasted resources, lower profitability, financial losses &amp; unsustainable expenses.
2 .Strategic Risks - Stunted revenue growth, decreased market share
3 .Operational Risks - Lack of accountability, internal conflicts, misallocation of efforts.</t>
  </si>
  <si>
    <t>1. Marketing budget controls - Balance short- vs. long-term strategies.
2. Implement ROI tracking tools - Define clear, &amp; measurable goals.
3. Adjust media strategy and conduct regular marketing audits</t>
  </si>
  <si>
    <t>SM9</t>
  </si>
  <si>
    <r>
      <rPr>
        <b/>
        <sz val="8"/>
        <rFont val="Arial"/>
        <family val="2"/>
      </rPr>
      <t>Negative and ineffective publicity on Social media</t>
    </r>
    <r>
      <rPr>
        <sz val="8"/>
        <rFont val="Arial"/>
        <family val="2"/>
      </rPr>
      <t xml:space="preserve"> - Customer complaints, viral misinformation, ineffective social meadia reach.</t>
    </r>
  </si>
  <si>
    <t>1. Reputational damage - Damage to corporate image.
2. Financial loss - lost customers and sales.
3. Loss of trust and customer loyalty - drive customers to competitors.
4. Low Market visibility and poor customer service perception.</t>
  </si>
  <si>
    <t>Rare</t>
  </si>
  <si>
    <t>1. Develop and enforce a clear social media policy - Social media monitoring.
2. Crisis communication plan and media training - Respond quickly and transparently, monitor conversations and set up alerts.</t>
  </si>
  <si>
    <t>SM10</t>
  </si>
  <si>
    <r>
      <rPr>
        <b/>
        <sz val="8"/>
        <rFont val="Arial"/>
        <family val="2"/>
      </rPr>
      <t>Market Disruption Due to Economic Downturn -</t>
    </r>
    <r>
      <rPr>
        <sz val="8"/>
        <rFont val="Arial"/>
        <family val="2"/>
      </rPr>
      <t xml:space="preserve"> Inflation, currency fluctuation, policy changes</t>
    </r>
  </si>
  <si>
    <t>1. Reduced consumer and business demand - lower real incomes, job uncertainty, and decreased consumer spending.
2. Financial instability and credit crunch - market instability, potential liquidity crises.</t>
  </si>
  <si>
    <t>1. Flexible pricing strategy - Adaptive Pricing that is value-based or bundling to hold or build market share(Sales promotions, discounts).
2. Diversify Revenue Streams: Expand into multiple markets, geographies, or introduce new product.
3. Adjust inventory and production
4. Improve forecasting -  Increase the frequency of sales, expense, and revenue forecasting to at least a monthly basis to improve reactionperiod.</t>
  </si>
  <si>
    <t>SM11</t>
  </si>
  <si>
    <r>
      <rPr>
        <b/>
        <sz val="8"/>
        <rFont val="Arial"/>
        <family val="2"/>
      </rPr>
      <t>Failure to Adopt Digital Marketing Trends</t>
    </r>
    <r>
      <rPr>
        <sz val="8"/>
        <rFont val="Arial"/>
        <family val="2"/>
      </rPr>
      <t xml:space="preserve"> - Resistance to change, lack of skills</t>
    </r>
  </si>
  <si>
    <t>1. Loss of visibility, reduced reach and brand awareness - lack of strong digital presence means your brand remains undiscoverable to potential customers.
2. Competitive disadvantage - lost market share and revenue.
3. Inability to adapt to changing consumer behavior - Consumer preferences constantly evolving, largely driven by new technology.</t>
  </si>
  <si>
    <t>Digital platforms in use
1. Prioritize continuous learning &amp; Upskill staff - Foster a culture of innovation and agility
2. Diversify marketing channels - Hire digital specialists, mix of content marketing (social media, email campaigns, and paid advertising).</t>
  </si>
  <si>
    <t xml:space="preserve">Logistics &amp; Fleet management </t>
  </si>
  <si>
    <t>LG1</t>
  </si>
  <si>
    <r>
      <rPr>
        <b/>
        <sz val="8"/>
        <rFont val="Arial"/>
        <family val="2"/>
      </rPr>
      <t>Road Accidents Involving Company Vehicle</t>
    </r>
    <r>
      <rPr>
        <sz val="8"/>
        <rFont val="Arial"/>
        <family val="2"/>
      </rPr>
      <t>s - Reckless driving, fatigue, poor vehicle condition</t>
    </r>
  </si>
  <si>
    <t>1. Optimize Logistics and Fleet Efficiency
2. Align Fleet Operations with Organizational Strategy
3. Ensure Vehicle Availability and Reliability
4. Strengthen Maintenance Management
5. Manage Inventory and Spare Parts Logistics
6. Ensure Legal and Regulatory Compliance</t>
  </si>
  <si>
    <t>1. Injury or death - third party or even the drivers.
2. Loss of goods in transit - damages and theft
3. Financial risks - Increased costs, financial strain, higher insurance premiums, asset damage and repairs.</t>
  </si>
  <si>
    <t xml:space="preserve">1. Driver vetting &amp; safety training, Enforce defensive driving training, 
2. Insurance cover - risk transfer to third party.
3. Install GPS speed monitors, accident reporting systems to trackall accidents and cause.
4. Regular vehicle inspections-  routine inspections to ensure vehicles are in good working order.
5. Risk assessment - Perform regular risk assessments to identify and address potential hazards. </t>
  </si>
  <si>
    <t>LG2</t>
  </si>
  <si>
    <r>
      <rPr>
        <b/>
        <sz val="8"/>
        <rFont val="Arial"/>
        <family val="2"/>
      </rPr>
      <t>Poor Vehicle Maintenance and Breakdown/ Escalating Vehicle Maintenance Costs -</t>
    </r>
    <r>
      <rPr>
        <sz val="8"/>
        <rFont val="Arial"/>
        <family val="2"/>
      </rPr>
      <t xml:space="preserve"> Irregular servicing, lack of spare parts</t>
    </r>
  </si>
  <si>
    <t>1. Safety risks - Accidents, poor visibility (worn-out lights or signaling systems), 
2. Financial and operational risks - Costly repairs (full engine or transmission failure), vehicle downtime, reduced fuel efficiency, 
3. Cost overuns</t>
  </si>
  <si>
    <t>1. Maintenance schedules - Perform regular checks on crucial components like brakes, tires, lights, and fluids.
2. Preventive maintenance program, 
3. Supplier contracts for spare parts - Like tyres to ensure conformance with standards.
4. Pre- and post-trip checks: Train drivers to perform daily or routine checks.
5. Fleet renewal plan - to cover like 5 years plan.</t>
  </si>
  <si>
    <t>LG3</t>
  </si>
  <si>
    <r>
      <rPr>
        <b/>
        <sz val="8"/>
        <rFont val="Arial"/>
        <family val="2"/>
      </rPr>
      <t xml:space="preserve">Fuel Theft or Misuse </t>
    </r>
    <r>
      <rPr>
        <sz val="8"/>
        <rFont val="Arial"/>
        <family val="2"/>
      </rPr>
      <t>- Lack of tracking, collusion, weak controls</t>
    </r>
  </si>
  <si>
    <t>1. Financial and operational risks - Financial losses, increased costs
2. Reduced efficiency
3. Administrative burden - Time and resources spent on investigating transactions.</t>
  </si>
  <si>
    <t>1. Secure fuel tanks - robust locking mechanisms, such as locking fuel caps
2. Fuel logs system installed - to monitor fueling.
3. Daily report reconciliation - between fuel log and meter readings
4. Vehicle based usage comparative - Millage vz comsumption comparatives and recovery on advance variances.c
5. Establish Clear Policies - fuel usage policies, refuelling protocols, and reporting unusual activities.</t>
  </si>
  <si>
    <t>LG4</t>
  </si>
  <si>
    <r>
      <rPr>
        <b/>
        <sz val="8"/>
        <rFont val="Arial"/>
        <family val="2"/>
      </rPr>
      <t>Inefficient Route Planning -</t>
    </r>
    <r>
      <rPr>
        <sz val="8"/>
        <rFont val="Arial"/>
        <family val="2"/>
      </rPr>
      <t xml:space="preserve"> Poor coordination, outdated systems.</t>
    </r>
  </si>
  <si>
    <t>1. Increased operational costs - Increased fuel cost ue to unnecessary mileage, excessive idling, and detours. 
2. Operational Risks - Delayed deliveries, manual error and time consumption, resource underutilization.</t>
  </si>
  <si>
    <r>
      <t xml:space="preserve">1. Manual route plans - done based on route deliveries
</t>
    </r>
    <r>
      <rPr>
        <b/>
        <sz val="8"/>
        <color rgb="FF000000"/>
        <rFont val="Arial"/>
        <family val="2"/>
      </rPr>
      <t xml:space="preserve">Recommended
2. </t>
    </r>
    <r>
      <rPr>
        <sz val="8"/>
        <color rgb="FF000000"/>
        <rFont val="Arial"/>
        <family val="2"/>
      </rPr>
      <t>Use GPS route optimization tools
3. Performance Metrics (KPIs) - Establish and monitor KPIs such as on-time delivery rates, miles per delivery stop, and cost per package.</t>
    </r>
  </si>
  <si>
    <t>LG5</t>
  </si>
  <si>
    <r>
      <rPr>
        <b/>
        <sz val="8"/>
        <rFont val="Arial"/>
        <family val="2"/>
      </rPr>
      <t>Expired Licenses or Vehicle Insurance</t>
    </r>
    <r>
      <rPr>
        <sz val="8"/>
        <rFont val="Arial"/>
        <family val="2"/>
      </rPr>
      <t xml:space="preserve"> - Poor tracking, negligence</t>
    </r>
  </si>
  <si>
    <t>1. Legal and Penalties - Fines, license suspension/revocation, 
2. Vehicle impoundment - causing supply disruptions, late delivery, damages.
3. Financial Risks - Insurance claim denial, personal liability etc.
4. Compliance &amp; safety risks - Unsafe driving behaviors to avoid authority.</t>
  </si>
  <si>
    <r>
      <t xml:space="preserve">1. Manual reminders - From the scheduling staff hard copy records.
</t>
    </r>
    <r>
      <rPr>
        <b/>
        <sz val="8"/>
        <color rgb="FF000000"/>
        <rFont val="Arial"/>
        <family val="2"/>
      </rPr>
      <t>Recommended</t>
    </r>
    <r>
      <rPr>
        <sz val="8"/>
        <color rgb="FF000000"/>
        <rFont val="Arial"/>
        <family val="2"/>
      </rPr>
      <t xml:space="preserve">
2. Centralized and automated tracking - Maintain compliance tracker with automated alerts.
3. </t>
    </r>
  </si>
  <si>
    <t>LG6</t>
  </si>
  <si>
    <r>
      <rPr>
        <b/>
        <sz val="8"/>
        <rFont val="Arial"/>
        <family val="2"/>
      </rPr>
      <t>Incompetent or Unlicensed Driver</t>
    </r>
    <r>
      <rPr>
        <sz val="8"/>
        <rFont val="Arial"/>
        <family val="2"/>
      </rPr>
      <t>s - Poor recruitment checks, lack of refresher training</t>
    </r>
  </si>
  <si>
    <t>1. Public safety risks - increased accidents, speeding, driving under the influence of alcohol.
2. Legal and financial risks - Vehicle impoundment, legal exposure, reputation loss.</t>
  </si>
  <si>
    <r>
      <rPr>
        <sz val="8"/>
        <rFont val="Arial"/>
        <family val="2"/>
      </rPr>
      <t>1. Robust driver vetting - thorough background checks and evaluate motor vehicle records.
2. Implement comprehensive safety policies - policies covering driver eligibility, safety expectations</t>
    </r>
    <r>
      <rPr>
        <sz val="8"/>
        <color rgb="FF000000"/>
        <rFont val="Arial"/>
        <family val="2"/>
      </rPr>
      <t xml:space="preserve">
</t>
    </r>
    <r>
      <rPr>
        <b/>
        <sz val="8"/>
        <color rgb="FF000000"/>
        <rFont val="Arial"/>
        <family val="2"/>
      </rPr>
      <t>Recommended</t>
    </r>
    <r>
      <rPr>
        <sz val="8"/>
        <color rgb="FF000000"/>
        <rFont val="Arial"/>
        <family val="2"/>
      </rPr>
      <t xml:space="preserve">
3. Mandatory driver risk assessments and training - Enforce annual driving tests and certification.</t>
    </r>
  </si>
  <si>
    <t>LG7</t>
  </si>
  <si>
    <r>
      <rPr>
        <b/>
        <sz val="8"/>
        <rFont val="Arial"/>
        <family val="2"/>
      </rPr>
      <t>Vehicle Misuse for Personal Activities -</t>
    </r>
    <r>
      <rPr>
        <sz val="8"/>
        <rFont val="Arial"/>
        <family val="2"/>
      </rPr>
      <t xml:space="preserve"> Weak supervision, lack of accountability</t>
    </r>
  </si>
  <si>
    <t>1. Legal Consequences - Traffic violations, unauthorized use charges.
2. Employer liability - for accidents caused by an employee during personal use.
3. Compliance and Tax penalties - failure to accurately report personal use of a company vehicle for tax purposes.
4. Financial losses - higher fuel, maintenance, and repair costs.</t>
  </si>
  <si>
    <t>1. Establish a clear Vehicle Use Policy - Define "Official Business", specify authorized drivers/times, 
2. Implement a Log Sheet System - Journey logs, supervisor approval.
3. Install route logs, - vehicle location, speed, routes taken, and times of travel in real-time.
4. Driver performance audits.</t>
  </si>
  <si>
    <t>LG8</t>
  </si>
  <si>
    <r>
      <rPr>
        <b/>
        <sz val="8"/>
        <rFont val="Arial"/>
        <family val="2"/>
      </rPr>
      <t>Vehicle Theft or Hijacking</t>
    </r>
    <r>
      <rPr>
        <sz val="8"/>
        <rFont val="Arial"/>
        <family val="2"/>
      </rPr>
      <t xml:space="preserve"> - Lack of security measures, poor tracking</t>
    </r>
  </si>
  <si>
    <t>1. Physical risks - Injury or death, health complications, 
2. Loss of vehicle and property - Asset loss, 
3. Service interruption - delayed deliveries, damages to goods.</t>
  </si>
  <si>
    <t>1. GPS Tracking Systems - Allows for real-time monitoring of your vehicle's location.
2. Risk transfer - insurance.
3. Emergency response plan.
4. Behavioral and situational awareness - Always Lock Up, Park Smart (well-lit parking).</t>
  </si>
  <si>
    <t>Highly effective</t>
  </si>
  <si>
    <t>LG9</t>
  </si>
  <si>
    <r>
      <rPr>
        <b/>
        <sz val="8"/>
        <rFont val="Arial"/>
        <family val="2"/>
      </rPr>
      <t>Loss of Fleet Data / Maintenance Records -</t>
    </r>
    <r>
      <rPr>
        <sz val="8"/>
        <rFont val="Arial"/>
        <family val="2"/>
      </rPr>
      <t xml:space="preserve"> IT system failure, manual record keeping</t>
    </r>
  </si>
  <si>
    <t xml:space="preserve">1. Safety and Compliance Risks - Increased liability due to improper maintenance paper trail.
2. Poor Decision Making - Data is vital for making informed decisions. 
3. Lack of accountability, and audit issues. </t>
  </si>
  <si>
    <r>
      <t xml:space="preserve">1. Regular data backups - Manual files, spreadsheets, 
2. Implement strict access controls to any data.
</t>
    </r>
    <r>
      <rPr>
        <b/>
        <sz val="8"/>
        <color rgb="FF000000"/>
        <rFont val="Arial"/>
        <family val="2"/>
      </rPr>
      <t>Recommended</t>
    </r>
    <r>
      <rPr>
        <sz val="8"/>
        <color rgb="FF000000"/>
        <rFont val="Arial"/>
        <family val="2"/>
      </rPr>
      <t xml:space="preserve">
3. Automate fleet management system, and data backups.</t>
    </r>
  </si>
  <si>
    <t>Procurement Function</t>
  </si>
  <si>
    <t>P1</t>
  </si>
  <si>
    <r>
      <rPr>
        <b/>
        <sz val="8"/>
        <rFont val="Arial"/>
        <family val="2"/>
      </rPr>
      <t xml:space="preserve">Poor Procurement Planning </t>
    </r>
    <r>
      <rPr>
        <sz val="8"/>
        <rFont val="Arial"/>
        <family val="2"/>
      </rPr>
      <t>- Lack of coordination with user departments, inaccurate forecasts</t>
    </r>
  </si>
  <si>
    <t>1. Align Procurement with Organizational Strategy
2. Develop a Reliable Supplier Base
3. Promote Value for Money (VfM)
4. Ensure Timely Acquisition of Goods and Services
5. Enforce Ethical and Sustainable Procurement</t>
  </si>
  <si>
    <t>1. Inventory mismanagement - Stock-outs, and over stocking.
2. Supply chain disruptions - by unexpected events like natural disasters or geopolitical issues. 
3. Production halts - downtime and lost revenue. 
4. Budget overruns - overpricing, unplanned expenses, price fluctuations
5. Poor product quality - Inaccurate specifications or a rush to procurement.</t>
  </si>
  <si>
    <t>1. Thorough needs analysis - Perform detailed analysis of requirements to avoid under- or overestimating needs
2. Regular review of procurement plan with all departments.
3. Centralized procurement function
4. Market survey reports</t>
  </si>
  <si>
    <t>P2</t>
  </si>
  <si>
    <r>
      <rPr>
        <b/>
        <sz val="8"/>
        <rFont val="Arial"/>
        <family val="2"/>
      </rPr>
      <t>Conflict of Interest, Collusion with Suppliers or Bribery</t>
    </r>
    <r>
      <rPr>
        <sz val="8"/>
        <rFont val="Arial"/>
        <family val="2"/>
      </rPr>
      <t xml:space="preserve"> - Lack of segregation of duties, weak oversight</t>
    </r>
  </si>
  <si>
    <t xml:space="preserve">1. Financial risks - Inflated prices, fraudulent invoices, kickbacks, lower quality.
2. Erosion of internal trust - damaged morale and trust among the workforce.
3. Distorted competition - undermines fair competition, create an inefficient and unethical business environment. </t>
  </si>
  <si>
    <t>1. Establishing a strong Ethical framework
2. Procurement Committee approval, 
3. Internal audit
4. Approval Matrix
5. Strengthen whistleblower policy,
6. Vendor vetting,
7. Mandatory conflict of interest disclosure, independent oversight</t>
  </si>
  <si>
    <t>P3</t>
  </si>
  <si>
    <r>
      <rPr>
        <b/>
        <sz val="8"/>
        <rFont val="Arial"/>
        <family val="2"/>
      </rPr>
      <t>Incomplete or Missing Procurement Records</t>
    </r>
    <r>
      <rPr>
        <sz val="8"/>
        <rFont val="Arial"/>
        <family val="2"/>
      </rPr>
      <t xml:space="preserve"> - Poor filing systems, manual documentation.</t>
    </r>
  </si>
  <si>
    <t>1. Budget overruns and increased costs - difficult to negotiate competitive prices or identify cost-saving opportunities.
2. Financial loss and unaccounted for expenditure.
3. Inability to Prove Due Diligence: Weak evidence trails leading to audit queries, and lack of transparency.</t>
  </si>
  <si>
    <t>1. Document control procedures - clear, mandatory policies for what documents must be created, received, maintained, and stored.
2. Centralized digital repository - Store all procurement records in a secure, centralized digital repository</t>
  </si>
  <si>
    <t>P4</t>
  </si>
  <si>
    <r>
      <rPr>
        <b/>
        <sz val="8"/>
        <rFont val="Arial"/>
        <family val="2"/>
      </rPr>
      <t>Overstocking / Understocking/ Unnecessary Purchases -</t>
    </r>
    <r>
      <rPr>
        <sz val="8"/>
        <rFont val="Arial"/>
        <family val="2"/>
      </rPr>
      <t xml:space="preserve"> Poor coordination with stores, inaccurate demand forecasts, poor needs assessment.</t>
    </r>
  </si>
  <si>
    <t>1. Tied-up capital and poor Cash Flow contraints.
2. Risk of obsolescence and spoilage.
3. Inefficient Resource Allocation - Wastage of funds.
4. Operational disruptions and increased costs.</t>
  </si>
  <si>
    <t>1. Reorder level system - Set reorder points and safety stock
2. Invest in Inventory Management Software - Integrate procurement with ERP inventory management.
3. Procurement authorization hierarchy
4. Strengthen approval workflow and justification forms</t>
  </si>
  <si>
    <t>Environment, Health &amp; Safety (EHS) Department</t>
  </si>
  <si>
    <t>EHS1</t>
  </si>
  <si>
    <r>
      <rPr>
        <b/>
        <sz val="8"/>
        <rFont val="Arial"/>
        <family val="2"/>
      </rPr>
      <t>Workplace Accidents or Injuries</t>
    </r>
    <r>
      <rPr>
        <sz val="8"/>
        <rFont val="Arial"/>
        <family val="2"/>
      </rPr>
      <t xml:space="preserve"> - Inadequate PPE, unsafe practices, lack of supervision.</t>
    </r>
  </si>
  <si>
    <t>1. Ensure a Safe and Healthy Workplace
2. Promote a Culture of Safety and Environmental Responsibility
3. Strengthen Hazard Identification and Risk Assessment (HIRA)
4. Ensure Use of Personal Protective Equipment (PPE)
5. Ensure Compliance with Environmental Laws and Regulations</t>
  </si>
  <si>
    <t>1. Physical and Safety Hazards - Injuries, fatalities, strains and overexertion, falls from height, 
2. Hazardous substances - Exposure to fumes, dust, or cleaning agents.(inhalation problems)
3. Ergonomic and repetitive strain injuries - Repetitive tasks, poor workstations, 
4. Fire and Explosions - Risks from flammables, poor electrical wiring, or other hazards.
5. Litigation and possible downtimes.</t>
  </si>
  <si>
    <t>1. Develop a safety plan - safety procedures, hazard control measures, and emergency preparedness.
2. Conduct risk assessments - Regularly evaluate the workplace to identify potential hazards and trends.
3. PPE provision,-  proper use of personal protective equipment.
4. Safety signage - clear signage to indicate hazards
5. Regular safety training, enforce safety rules
6. Establish clear accident reporting procedures - RCAs</t>
  </si>
  <si>
    <t>EHS2</t>
  </si>
  <si>
    <r>
      <rPr>
        <b/>
        <sz val="8"/>
        <rFont val="Arial"/>
        <family val="2"/>
      </rPr>
      <t>Improper Waste Disposal</t>
    </r>
    <r>
      <rPr>
        <sz val="8"/>
        <rFont val="Arial"/>
        <family val="2"/>
      </rPr>
      <t xml:space="preserve"> - Lack of waste segregation or disposal facilities.</t>
    </r>
  </si>
  <si>
    <t xml:space="preserve">1. Public health risks - Environmental contamination, respiratory problems, 
2. Regulatory fines -  due to noncompliance.
3. Environmental risks - Water pollution, soil contamination, air pollution. </t>
  </si>
  <si>
    <t xml:space="preserve">1. Implementing proper waste segregation and handling - Segregation at the source, safe storage, specialized handling for hazardous Waste
2. Waste bins, disposal contractors
3. Regulatory Measures - Strengthened policies, </t>
  </si>
  <si>
    <t>EHS3</t>
  </si>
  <si>
    <r>
      <rPr>
        <b/>
        <sz val="8"/>
        <rFont val="Arial"/>
        <family val="2"/>
      </rPr>
      <t>Non-Compliance with Environmental or OSHA Regulations</t>
    </r>
    <r>
      <rPr>
        <sz val="8"/>
        <rFont val="Arial"/>
        <family val="2"/>
      </rPr>
      <t xml:space="preserve"> - Ignorance of laws, lack of monitoring.</t>
    </r>
  </si>
  <si>
    <t>1. Legal risks - Fines, criminal charges.
2. Safety and health risks - Increased accidents, health hazards.
3. Reputational risks - Negative publicity, reputational damage.
4. production halt - suspension of operations.</t>
  </si>
  <si>
    <t>1. Compliance checklists - register on areas of compliance.
2. Regular compliance audits, training - external and internal checks being done.
3. Perform Hazard identification and Risk Assessments
4. Provide comprehensive training - Document all training sessions and attendance.</t>
  </si>
  <si>
    <t>EHS4</t>
  </si>
  <si>
    <r>
      <rPr>
        <b/>
        <sz val="8"/>
        <rFont val="Arial"/>
        <family val="2"/>
      </rPr>
      <t xml:space="preserve">Exposure to Hazardous Substances (Spillage or Leakage) </t>
    </r>
    <r>
      <rPr>
        <sz val="8"/>
        <rFont val="Arial"/>
        <family val="2"/>
      </rPr>
      <t>- Poor ventilation, inadequate PPE, Poor handling, faulty containers</t>
    </r>
  </si>
  <si>
    <t>1. Health risks - Chronic illness, severe burns, respiratory, injury.
2. Physical and environmental risks - Soil and water contamination, Fire and explosion,
3. Legal and financial penalties - fines, legal action, and significant costs from prosecution, civil action.</t>
  </si>
  <si>
    <t>1. Engineering Controls - Enclosure and isolation, ventilation, secondary containment (spill pallets, bunds), 
2. Administrative Controls - Safe handling &amp; storage protocols, inventory management, good housekeeping.
3. Appropriate PPE such as chemical-resistant gloves, safety goggles/face shields, respirators, coveralls, and boots based on the specific hazard.
4. Regular inspection and spill response drills</t>
  </si>
  <si>
    <t>EHS5</t>
  </si>
  <si>
    <r>
      <rPr>
        <b/>
        <sz val="8"/>
        <rFont val="Arial"/>
        <family val="2"/>
      </rPr>
      <t>Musculoskeletal Injuries from Poor Ergonomics</t>
    </r>
    <r>
      <rPr>
        <sz val="8"/>
        <rFont val="Arial"/>
        <family val="2"/>
      </rPr>
      <t xml:space="preserve"> - Repetitive tasks, improper workstation design.</t>
    </r>
  </si>
  <si>
    <t>1. Physical health risks - Back and neck pain, Muscle strains and fatigue
2. Higher healthcare costs - compensation claims, abseinteism.
3. Lost time and reduced productivity.</t>
  </si>
  <si>
    <t>1. Use Mechanical Aids - hoists, lift assists, or dollies to lift and reposition heavy objects
2. Ergonomic assessments - evaluate the workplace to identify specific risk factors.
3. Redesign workstations, train staff</t>
  </si>
  <si>
    <t>EHS6</t>
  </si>
  <si>
    <r>
      <rPr>
        <b/>
        <sz val="8"/>
        <rFont val="Arial"/>
        <family val="2"/>
      </rPr>
      <t>Poor Emergency Preparedness</t>
    </r>
    <r>
      <rPr>
        <sz val="8"/>
        <rFont val="Arial"/>
        <family val="2"/>
      </rPr>
      <t xml:space="preserve"> - Lack of drills, outdated plans.</t>
    </r>
  </si>
  <si>
    <t>1. Increased fatalities and injury - Delays in rescue and emergency medical services.
2. Widespread destruction and property loss - physical damage to infrastructure and property.
3. Panic, ineffective response, production halt.</t>
  </si>
  <si>
    <t>1. Develop a written emergency action plan (EAP): Create a detailed, actionable blueprint that outlines procedures 
2. Fire drills, evacuation plan
3. Review and update emergency plan quarterly
4. Conduct a thorough risk assessment - Identify potential hazards.
5. Conduct regular drills and exercises - Test the plan through mock drills, tabletop exercises, and full-scale simulations.</t>
  </si>
  <si>
    <t>EHS7</t>
  </si>
  <si>
    <r>
      <rPr>
        <b/>
        <sz val="8"/>
        <rFont val="Arial"/>
        <family val="2"/>
      </rPr>
      <t xml:space="preserve">Poor hygine &amp; Housekeeping Practices </t>
    </r>
    <r>
      <rPr>
        <sz val="8"/>
        <rFont val="Arial"/>
        <family val="2"/>
      </rPr>
      <t>- Negligence, lack of accountability.</t>
    </r>
  </si>
  <si>
    <t>1. Safety Risks - Slips, trips, falls, fire hazards
2. Health Risks - Spread of illness and disease, pest infestations, 
3. Reputation and Financial Damage - health code violations, potential fines and lawsuits, loss of customer trust, and damage to their brand reputation.</t>
  </si>
  <si>
    <t>1. Create a master cleaning schedule - Housekeeping schedule
2. Educate and train employees - safety guidelines, proper lifting techniques, and the correct use of cleaning products and PPE
3. Assign area safety champions
4. Conduct regular inspections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</si>
</sst>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mmm\-yy;@"/>
    <numFmt numFmtId="165" formatCode="_-* #,##0_-;\-* #,##0_-;_-* &quot;-&quot;??_-;_-@_-"/>
  </numFmts>
  <fonts count="14" x14ac:knownFonts="1">
    <font>
      <sz val="10"/>
      <name val="Arial"/>
    </font>
    <font>
      <b/>
      <sz val="8"/>
      <color rgb="FFFFFFFF"/>
      <name val="Arial"/>
      <family val="2"/>
    </font>
    <font>
      <sz val="8"/>
      <color rgb="FFFFFFFF"/>
      <name val="Arial"/>
      <family val="2"/>
    </font>
    <font>
      <sz val="8"/>
      <color theme="0"/>
      <name val="Arial"/>
      <family val="2"/>
    </font>
    <font>
      <sz val="8"/>
      <name val="Arial"/>
      <family val="2"/>
    </font>
    <font>
      <b/>
      <sz val="8"/>
      <color rgb="FF000000"/>
      <name val="Arial"/>
      <family val="2"/>
    </font>
    <font>
      <sz val="8"/>
      <color rgb="FF000000"/>
      <name val="Arial"/>
      <family val="2"/>
    </font>
    <font>
      <sz val="8"/>
      <color rgb="FFFF0000"/>
      <name val="Arial"/>
      <family val="2"/>
    </font>
    <font>
      <sz val="8"/>
      <color rgb="FF0A0A0A"/>
      <name val="Arial"/>
      <family val="2"/>
    </font>
    <font>
      <sz val="10"/>
      <name val="Arial"/>
      <family val="2"/>
    </font>
    <font>
      <b/>
      <sz val="8"/>
      <color rgb="FF0A0A0A"/>
      <name val="Arial"/>
      <family val="2"/>
    </font>
    <font>
      <b/>
      <sz val="8"/>
      <name val="Arial"/>
      <family val="2"/>
    </font>
    <font>
      <sz val="8"/>
      <color theme="1"/>
      <name val="Arial"/>
      <family val="2"/>
    </font>
    <font>
      <b/>
      <sz val="8"/>
      <color theme="1"/>
      <name val="Arial"/>
      <family val="2"/>
    </font>
  </fonts>
  <fills count="5">
    <fill>
      <patternFill patternType="none"/>
    </fill>
    <fill>
      <patternFill patternType="gray125"/>
    </fill>
    <fill>
      <patternFill patternType="solid">
        <fgColor rgb="FF000000"/>
        <bgColor indexed="64"/>
      </patternFill>
    </fill>
    <fill>
      <patternFill patternType="solid">
        <fgColor rgb="FFC000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9" fillId="0" borderId="0" applyFont="0" applyFill="0" applyBorder="0" applyAlignment="0" applyProtection="0"/>
  </cellStyleXfs>
  <cellXfs count="55">
    <xf numFmtId="0" fontId="0" fillId="0" borderId="0" xfId="0"/>
    <xf numFmtId="0" fontId="1" fillId="2" borderId="1" xfId="0" applyFont="1" applyFill="1" applyBorder="1" applyAlignment="1">
      <alignment horizontal="center" vertical="center" wrapText="1" readingOrder="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readingOrder="1"/>
    </xf>
    <xf numFmtId="0" fontId="1" fillId="2" borderId="1" xfId="0" applyFont="1" applyFill="1" applyBorder="1" applyAlignment="1">
      <alignment horizontal="left" vertical="center" wrapText="1" readingOrder="1"/>
    </xf>
    <xf numFmtId="0" fontId="3" fillId="3" borderId="1" xfId="0" applyFont="1" applyFill="1" applyBorder="1" applyAlignment="1">
      <alignment horizontal="center" vertical="center" wrapText="1"/>
    </xf>
    <xf numFmtId="16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center" vertical="center" wrapText="1" readingOrder="1"/>
    </xf>
    <xf numFmtId="0" fontId="5" fillId="0" borderId="1" xfId="0" applyFont="1" applyBorder="1" applyAlignment="1">
      <alignment horizontal="center" vertical="center" wrapText="1" readingOrder="1"/>
    </xf>
    <xf numFmtId="0" fontId="5" fillId="0" borderId="1" xfId="0" applyFont="1" applyBorder="1" applyAlignment="1">
      <alignment vertical="center" wrapText="1" readingOrder="1"/>
    </xf>
    <xf numFmtId="0" fontId="6" fillId="0" borderId="1" xfId="0" applyFont="1" applyBorder="1" applyAlignment="1">
      <alignment horizontal="center" vertical="center" wrapText="1"/>
    </xf>
    <xf numFmtId="0" fontId="8" fillId="0" borderId="1" xfId="0" applyFont="1" applyBorder="1" applyAlignment="1">
      <alignment vertical="center" wrapText="1"/>
    </xf>
    <xf numFmtId="0" fontId="4" fillId="0" borderId="1" xfId="0" applyFont="1" applyBorder="1" applyAlignment="1">
      <alignment horizontal="center" vertical="center" wrapText="1"/>
    </xf>
    <xf numFmtId="165" fontId="4" fillId="4" borderId="1" xfId="1" applyNumberFormat="1" applyFont="1" applyFill="1" applyBorder="1" applyAlignment="1">
      <alignment horizontal="center" vertical="center" wrapText="1"/>
    </xf>
    <xf numFmtId="165" fontId="4" fillId="0" borderId="1" xfId="1" applyNumberFormat="1" applyFont="1" applyFill="1" applyBorder="1" applyAlignment="1">
      <alignment horizontal="center" vertical="center" wrapText="1"/>
    </xf>
    <xf numFmtId="0" fontId="6" fillId="0" borderId="1" xfId="0" applyFont="1" applyBorder="1" applyAlignment="1">
      <alignment horizontal="left" vertical="center" wrapText="1" readingOrder="1"/>
    </xf>
    <xf numFmtId="165" fontId="4" fillId="0" borderId="1" xfId="1" applyNumberFormat="1" applyFont="1" applyFill="1" applyBorder="1" applyAlignment="1">
      <alignment vertical="center" wrapText="1"/>
    </xf>
    <xf numFmtId="0" fontId="6" fillId="0" borderId="1" xfId="0" applyFont="1" applyBorder="1" applyAlignment="1">
      <alignment horizontal="center" vertical="center" wrapText="1" readingOrder="1"/>
    </xf>
    <xf numFmtId="0" fontId="4" fillId="0" borderId="1" xfId="0" applyFont="1" applyBorder="1" applyAlignment="1">
      <alignment vertical="center" wrapText="1"/>
    </xf>
    <xf numFmtId="1" fontId="4" fillId="0" borderId="0" xfId="0" applyNumberFormat="1"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readingOrder="1"/>
    </xf>
    <xf numFmtId="43" fontId="4" fillId="0" borderId="1" xfId="1" applyFont="1" applyFill="1" applyBorder="1" applyAlignment="1">
      <alignment vertical="center" wrapText="1"/>
    </xf>
    <xf numFmtId="0" fontId="6" fillId="0" borderId="1" xfId="0" applyFont="1" applyBorder="1" applyAlignment="1">
      <alignment horizontal="center" vertical="center" wrapText="1" readingOrder="1"/>
    </xf>
    <xf numFmtId="0" fontId="4" fillId="0" borderId="1" xfId="0" applyFont="1" applyBorder="1" applyAlignment="1">
      <alignment horizontal="left" vertical="center" wrapText="1"/>
    </xf>
    <xf numFmtId="2" fontId="4" fillId="0" borderId="0" xfId="0" applyNumberFormat="1" applyFont="1" applyAlignment="1">
      <alignment vertical="center" wrapText="1"/>
    </xf>
    <xf numFmtId="0" fontId="10" fillId="0" borderId="1" xfId="0" applyFont="1" applyBorder="1" applyAlignment="1">
      <alignment vertical="center" wrapText="1"/>
    </xf>
    <xf numFmtId="164" fontId="4" fillId="0" borderId="0" xfId="0" applyNumberFormat="1" applyFont="1" applyAlignment="1">
      <alignment vertical="center" wrapText="1"/>
    </xf>
    <xf numFmtId="0" fontId="11" fillId="0" borderId="1" xfId="0" applyFont="1" applyBorder="1" applyAlignment="1">
      <alignment vertical="center" wrapText="1"/>
    </xf>
    <xf numFmtId="0" fontId="8" fillId="0" borderId="1" xfId="0" applyFont="1" applyBorder="1" applyAlignment="1">
      <alignment wrapText="1"/>
    </xf>
    <xf numFmtId="0" fontId="4" fillId="0" borderId="1" xfId="0" applyFont="1" applyBorder="1" applyAlignment="1">
      <alignment wrapText="1"/>
    </xf>
    <xf numFmtId="0" fontId="5" fillId="0" borderId="2" xfId="0" applyFont="1" applyBorder="1" applyAlignment="1">
      <alignment horizontal="center" vertical="center" wrapText="1" readingOrder="1"/>
    </xf>
    <xf numFmtId="0" fontId="6" fillId="0" borderId="2" xfId="0" applyFont="1" applyBorder="1" applyAlignment="1">
      <alignment horizontal="center" vertical="center" wrapText="1"/>
    </xf>
    <xf numFmtId="17" fontId="6" fillId="0" borderId="1" xfId="0" applyNumberFormat="1"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6" fillId="0" borderId="3"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5" fillId="0" borderId="4" xfId="0" applyFont="1" applyBorder="1" applyAlignment="1">
      <alignment horizontal="center" vertical="center" wrapText="1" readingOrder="1"/>
    </xf>
    <xf numFmtId="0" fontId="6"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4" fillId="0" borderId="1" xfId="0" applyFont="1" applyBorder="1" applyAlignment="1">
      <alignment vertical="center"/>
    </xf>
    <xf numFmtId="17" fontId="6" fillId="0" borderId="1" xfId="0" applyNumberFormat="1" applyFont="1" applyBorder="1" applyAlignment="1">
      <alignment vertical="center" wrapText="1" readingOrder="1"/>
    </xf>
    <xf numFmtId="0" fontId="12" fillId="0" borderId="1" xfId="0" applyFont="1" applyBorder="1" applyAlignment="1">
      <alignment horizontal="center" vertical="center"/>
    </xf>
    <xf numFmtId="0" fontId="6" fillId="0" borderId="1" xfId="0" applyFont="1" applyBorder="1" applyAlignment="1">
      <alignment horizontal="left" vertical="center" wrapText="1"/>
    </xf>
    <xf numFmtId="0" fontId="12" fillId="0" borderId="0" xfId="0" applyFont="1" applyAlignment="1">
      <alignment vertical="center"/>
    </xf>
    <xf numFmtId="0" fontId="13"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horizontal="left" vertical="center"/>
    </xf>
    <xf numFmtId="0" fontId="4" fillId="0" borderId="0" xfId="0" applyFont="1"/>
    <xf numFmtId="0" fontId="4" fillId="0" borderId="0" xfId="0" applyFont="1" applyAlignment="1">
      <alignment horizontal="center"/>
    </xf>
  </cellXfs>
  <cellStyles count="2">
    <cellStyle name="Comma" xfId="1" builtinId="3"/>
    <cellStyle name="Normal" xfId="0" builtinId="0"/>
  </cellStyles>
  <dxfs count="11">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indexed="11"/>
        </patternFill>
      </fill>
    </dxf>
    <dxf>
      <fill>
        <patternFill>
          <bgColor indexed="13"/>
        </patternFill>
      </fill>
    </dxf>
    <dxf>
      <fill>
        <patternFill>
          <bgColor indexed="10"/>
        </patternFill>
      </fill>
    </dxf>
    <dxf>
      <fill>
        <patternFill>
          <bgColor rgb="FFFF0000"/>
        </patternFill>
      </fill>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thony\Pictures\Broadway-Exploratory-data-analysis\heatmap\BBL_Top%20Business%20Risks%20Register_Oct%202025%20-%20Hitmap.xlsx" TargetMode="External"/><Relationship Id="rId1" Type="http://schemas.openxmlformats.org/officeDocument/2006/relationships/externalLinkPath" Target="BBL_Top%20Business%20Risks%20Register_Oct%202025%20-%20Hitma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arvesh\Work\OneDrive%20-%20Altron%20Group\OneDrive%20-%20Altron%20Group\Current%20Documents%20-%20Altron\Altron%20Business%20Risk\2.%20Altron\September%202018\Altron%20Group%20Risk%20-%20September%202018.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pcafr-my.sharepoint.com/personal/parvesh_chetty_ppc_co_za/Documents/2.%20ERM/Finance/6.2%20%20Finance%20Risk%20Register-20220830%20-%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Current%20Documents%20-%20Altron\Altron%20Business%20Risk\3.%20Altech%20OpCos\May%202016\AMMI\AMMI%20Group%20Risk%20-%20Revised.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1 Heatmap"/>
      <sheetName val="1.2 Risk Summary"/>
      <sheetName val="1.2 Risk Register draft"/>
      <sheetName val="1.3 Risk Register "/>
      <sheetName val="Sheet1"/>
      <sheetName val="Data source"/>
      <sheetName val="Risk Legend"/>
    </sheetNames>
    <sheetDataSet>
      <sheetData sheetId="0"/>
      <sheetData sheetId="1"/>
      <sheetData sheetId="2"/>
      <sheetData sheetId="3"/>
      <sheetData sheetId="4"/>
      <sheetData sheetId="5">
        <row r="10">
          <cell r="C10" t="str">
            <v>Catastrophic</v>
          </cell>
          <cell r="D10">
            <v>5</v>
          </cell>
        </row>
        <row r="11">
          <cell r="C11" t="str">
            <v>Critical</v>
          </cell>
          <cell r="D11">
            <v>4</v>
          </cell>
        </row>
        <row r="12">
          <cell r="C12" t="str">
            <v>Serious</v>
          </cell>
          <cell r="D12">
            <v>3</v>
          </cell>
        </row>
        <row r="13">
          <cell r="C13" t="str">
            <v>Marginal</v>
          </cell>
          <cell r="D13">
            <v>2</v>
          </cell>
        </row>
        <row r="14">
          <cell r="C14" t="str">
            <v>Negligible</v>
          </cell>
          <cell r="D14">
            <v>1</v>
          </cell>
        </row>
        <row r="19">
          <cell r="C19" t="str">
            <v>Almost Certain</v>
          </cell>
          <cell r="D19">
            <v>5</v>
          </cell>
        </row>
        <row r="20">
          <cell r="C20" t="str">
            <v>Likely</v>
          </cell>
          <cell r="D20">
            <v>4</v>
          </cell>
        </row>
        <row r="21">
          <cell r="C21" t="str">
            <v>Moderate</v>
          </cell>
          <cell r="D21">
            <v>3</v>
          </cell>
        </row>
        <row r="22">
          <cell r="C22" t="str">
            <v>Unlikely</v>
          </cell>
          <cell r="D22">
            <v>2</v>
          </cell>
        </row>
        <row r="23">
          <cell r="C23" t="str">
            <v>Rare</v>
          </cell>
          <cell r="D23">
            <v>1</v>
          </cell>
        </row>
        <row r="27">
          <cell r="C27" t="str">
            <v>Highly Effective</v>
          </cell>
          <cell r="D27">
            <v>0.8</v>
          </cell>
        </row>
        <row r="28">
          <cell r="C28" t="str">
            <v>Effective</v>
          </cell>
          <cell r="D28">
            <v>0.6</v>
          </cell>
        </row>
        <row r="29">
          <cell r="C29" t="str">
            <v>Partially effective</v>
          </cell>
          <cell r="D29">
            <v>0.4</v>
          </cell>
        </row>
        <row r="30">
          <cell r="C30" t="str">
            <v>Ineffective</v>
          </cell>
          <cell r="D30">
            <v>0.2</v>
          </cell>
        </row>
      </sheetData>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nsol Heatmap"/>
      <sheetName val="Variables"/>
      <sheetName val="Risk template"/>
      <sheetName val="Export"/>
      <sheetName val="Top risk Heatmap - pre"/>
      <sheetName val="Top risk Heatmap - final"/>
      <sheetName val="Altron Risk - Heatmap PY Comp"/>
      <sheetName val="Altron Risk - Heatmap"/>
      <sheetName val="Altron Risk - Summary"/>
      <sheetName val="Altron Risk - Summary (2)"/>
      <sheetName val="Altron Risk - Allocation"/>
      <sheetName val="Altron S&amp;E - Heatmap PY Comp"/>
      <sheetName val="Altron S&amp;E - Heatmap"/>
      <sheetName val="Altron S&amp;E - Summary"/>
      <sheetName val="Risk 1"/>
    </sheetNames>
    <sheetDataSet>
      <sheetData sheetId="0" refreshError="1"/>
      <sheetData sheetId="1" refreshError="1"/>
      <sheetData sheetId="2">
        <row r="8">
          <cell r="B8" t="str">
            <v>Critical (5)</v>
          </cell>
          <cell r="E8" t="str">
            <v>Confidently expected (5)</v>
          </cell>
          <cell r="L8" t="str">
            <v>Good - No further Action</v>
          </cell>
          <cell r="S8" t="str">
            <v>Financial Sustainability</v>
          </cell>
          <cell r="V8" t="str">
            <v>Profitability Growth</v>
          </cell>
          <cell r="X8" t="str">
            <v>Treating</v>
          </cell>
          <cell r="Z8" t="str">
            <v>Not Started</v>
          </cell>
          <cell r="AF8" t="str">
            <v>Increasing</v>
          </cell>
          <cell r="AH8" t="str">
            <v>Daily</v>
          </cell>
        </row>
        <row r="9">
          <cell r="B9" t="str">
            <v>Serious (4)</v>
          </cell>
          <cell r="E9" t="str">
            <v>Probable (4)</v>
          </cell>
          <cell r="L9" t="str">
            <v>Satisfactory - Minor Action</v>
          </cell>
          <cell r="S9" t="str">
            <v>Human Capital</v>
          </cell>
          <cell r="V9" t="str">
            <v>Capital and Cost Efficiencies</v>
          </cell>
          <cell r="X9" t="str">
            <v>Tolerating</v>
          </cell>
          <cell r="Z9" t="str">
            <v>In Progress</v>
          </cell>
          <cell r="AF9" t="str">
            <v>Constant</v>
          </cell>
          <cell r="AH9" t="str">
            <v>Monthly</v>
          </cell>
        </row>
        <row r="10">
          <cell r="B10" t="str">
            <v>Significant (3)</v>
          </cell>
          <cell r="E10" t="str">
            <v>Moderate (3)</v>
          </cell>
          <cell r="L10" t="str">
            <v>Satisfactory - Significant Action</v>
          </cell>
          <cell r="S10" t="str">
            <v>Products and Services</v>
          </cell>
          <cell r="V10" t="str">
            <v>Transformation</v>
          </cell>
          <cell r="X10" t="str">
            <v>Transferring</v>
          </cell>
          <cell r="Z10" t="str">
            <v>Partially complete</v>
          </cell>
          <cell r="AF10" t="str">
            <v>Decreasing</v>
          </cell>
          <cell r="AH10" t="str">
            <v>Quarterly</v>
          </cell>
        </row>
        <row r="11">
          <cell r="B11" t="str">
            <v>Not significant (2)</v>
          </cell>
          <cell r="E11" t="str">
            <v>Unlikely (2)</v>
          </cell>
          <cell r="L11" t="str">
            <v>Corrective Action Required</v>
          </cell>
          <cell r="S11" t="str">
            <v>External Relationships</v>
          </cell>
          <cell r="V11" t="str">
            <v>Human Resources</v>
          </cell>
          <cell r="X11" t="str">
            <v>Terminating</v>
          </cell>
          <cell r="Z11" t="str">
            <v>Complete</v>
          </cell>
          <cell r="AH11" t="str">
            <v>Bi-Annually</v>
          </cell>
        </row>
        <row r="12">
          <cell r="B12" t="str">
            <v>Minor (1)</v>
          </cell>
          <cell r="E12" t="str">
            <v>Remote (1)</v>
          </cell>
          <cell r="L12" t="str">
            <v>Deficient</v>
          </cell>
          <cell r="V12" t="str">
            <v>Company Culture</v>
          </cell>
          <cell r="AH12" t="str">
            <v>Annually</v>
          </cell>
        </row>
        <row r="13">
          <cell r="L13" t="str">
            <v>No Management Control</v>
          </cell>
          <cell r="V13" t="str">
            <v>Innovation and R&amp;D</v>
          </cell>
        </row>
        <row r="14">
          <cell r="V14" t="str">
            <v>Products and Service Offerings</v>
          </cell>
        </row>
        <row r="15">
          <cell r="V15" t="str">
            <v>Clients and Customers</v>
          </cell>
        </row>
        <row r="16">
          <cell r="V16" t="str">
            <v>Government and Paratatals</v>
          </cell>
        </row>
        <row r="17">
          <cell r="V17" t="str">
            <v>Strategic Partners</v>
          </cell>
        </row>
        <row r="18">
          <cell r="V18" t="str">
            <v>Suppliers</v>
          </cell>
        </row>
        <row r="19">
          <cell r="V19" t="str">
            <v>Environmental</v>
          </cell>
        </row>
        <row r="20">
          <cell r="V20" t="str">
            <v>Corporate Social Investment</v>
          </cell>
        </row>
      </sheetData>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tmap"/>
      <sheetName val="Finance"/>
    </sheetNames>
    <sheetDataSet>
      <sheetData sheetId="0"/>
      <sheetData sheetId="1">
        <row r="1">
          <cell r="A1" t="str">
            <v>Enterprise risk management - Finance risk register  - financial reporting risks and treasury risks</v>
          </cell>
          <cell r="B1">
            <v>0</v>
          </cell>
          <cell r="C1">
            <v>0</v>
          </cell>
          <cell r="D1">
            <v>0</v>
          </cell>
          <cell r="E1">
            <v>0</v>
          </cell>
          <cell r="F1">
            <v>0</v>
          </cell>
          <cell r="G1">
            <v>0</v>
          </cell>
          <cell r="H1">
            <v>0</v>
          </cell>
          <cell r="I1">
            <v>0</v>
          </cell>
          <cell r="J1">
            <v>0</v>
          </cell>
          <cell r="K1">
            <v>0</v>
          </cell>
          <cell r="L1">
            <v>0</v>
          </cell>
          <cell r="M1">
            <v>0</v>
          </cell>
          <cell r="N1">
            <v>0</v>
          </cell>
          <cell r="O1">
            <v>0</v>
          </cell>
          <cell r="P1">
            <v>0</v>
          </cell>
          <cell r="Q1">
            <v>0</v>
          </cell>
        </row>
        <row r="2">
          <cell r="R2">
            <v>0</v>
          </cell>
        </row>
        <row r="3">
          <cell r="A3" t="str">
            <v>Risk No</v>
          </cell>
          <cell r="B3" t="str">
            <v>Objective</v>
          </cell>
          <cell r="C3" t="str">
            <v>Risk / Opportunity Description</v>
          </cell>
          <cell r="D3" t="str">
            <v>Impact / Consequence Rating</v>
          </cell>
          <cell r="E3" t="str">
            <v>Probability / Likelihood Rating</v>
          </cell>
          <cell r="F3" t="str">
            <v>Inherent Risk Rating</v>
          </cell>
          <cell r="G3" t="str">
            <v>Existing Controls</v>
          </cell>
          <cell r="H3" t="str">
            <v>Controls Evaluation</v>
          </cell>
          <cell r="I3" t="str">
            <v>Residual Risk</v>
          </cell>
          <cell r="J3" t="str">
            <v>Risk Action</v>
          </cell>
          <cell r="K3" t="str">
            <v>Action / Project</v>
          </cell>
          <cell r="L3" t="str">
            <v xml:space="preserve">Action / Project Owner </v>
          </cell>
          <cell r="M3" t="str">
            <v xml:space="preserve">Due Date </v>
          </cell>
          <cell r="N3" t="str">
            <v>Estimated Cost</v>
          </cell>
          <cell r="O3" t="str">
            <v xml:space="preserve">Action / Project Status </v>
          </cell>
          <cell r="P3" t="str">
            <v xml:space="preserve">Comments </v>
          </cell>
          <cell r="Q3" t="str">
            <v>Completed Date</v>
          </cell>
          <cell r="R3">
            <v>0</v>
          </cell>
        </row>
        <row r="4">
          <cell r="A4">
            <v>1</v>
          </cell>
          <cell r="B4" t="str">
            <v xml:space="preserve">To minimize material misstatements in the financial statements. </v>
          </cell>
          <cell r="C4" t="str">
            <v xml:space="preserve">Financial statements are materially mistated and not fairly represented. </v>
          </cell>
          <cell r="D4" t="str">
            <v>Catastrophic</v>
          </cell>
          <cell r="E4" t="str">
            <v>Almost Certain</v>
          </cell>
          <cell r="F4">
            <v>25</v>
          </cell>
          <cell r="G4" t="str">
            <v>Financial reporting system</v>
          </cell>
          <cell r="H4" t="str">
            <v>Partially effective</v>
          </cell>
          <cell r="I4">
            <v>15</v>
          </cell>
          <cell r="J4" t="str">
            <v>Treat</v>
          </cell>
          <cell r="K4">
            <v>0</v>
          </cell>
          <cell r="L4" t="str">
            <v xml:space="preserve">Head of Group Reporting </v>
          </cell>
          <cell r="M4" t="str">
            <v xml:space="preserve">On-going </v>
          </cell>
          <cell r="N4">
            <v>0</v>
          </cell>
          <cell r="O4">
            <v>0</v>
          </cell>
          <cell r="P4">
            <v>0</v>
          </cell>
          <cell r="Q4" t="str">
            <v xml:space="preserve">On-going </v>
          </cell>
          <cell r="R4">
            <v>0</v>
          </cell>
        </row>
        <row r="5">
          <cell r="A5">
            <v>2</v>
          </cell>
          <cell r="B5" t="str">
            <v xml:space="preserve">To minimize incorrect judgements made in the calculation of impairments. </v>
          </cell>
          <cell r="C5" t="str">
            <v xml:space="preserve">Significant judgements made in the impairment calculations could result in incorrect conclusions. </v>
          </cell>
          <cell r="D5" t="str">
            <v>Critical</v>
          </cell>
          <cell r="E5" t="str">
            <v>Likely</v>
          </cell>
          <cell r="F5">
            <v>16</v>
          </cell>
          <cell r="G5" t="str">
            <v>Standardized impairment model 
Judgements approved by ARCC
Multiple senstivities run</v>
          </cell>
          <cell r="H5" t="str">
            <v>Effective</v>
          </cell>
          <cell r="I5">
            <v>6.4</v>
          </cell>
          <cell r="J5" t="str">
            <v>Tolerate</v>
          </cell>
          <cell r="K5">
            <v>0</v>
          </cell>
          <cell r="L5" t="str">
            <v>Head of Finance</v>
          </cell>
          <cell r="M5" t="str">
            <v xml:space="preserve">On-going </v>
          </cell>
          <cell r="N5">
            <v>0</v>
          </cell>
          <cell r="O5">
            <v>0</v>
          </cell>
          <cell r="P5">
            <v>0</v>
          </cell>
          <cell r="Q5" t="str">
            <v xml:space="preserve">On-going </v>
          </cell>
          <cell r="R5">
            <v>0</v>
          </cell>
        </row>
        <row r="6">
          <cell r="A6">
            <v>3</v>
          </cell>
          <cell r="B6" t="str">
            <v xml:space="preserve">To minimize incorrect calculation of the expected credit losses (ECL). </v>
          </cell>
          <cell r="C6" t="str">
            <v xml:space="preserve">IFRS 9 principles have been incorrectly applied, resulting in the incorrect calculation of the expected credit losses. </v>
          </cell>
          <cell r="D6" t="str">
            <v>Critical</v>
          </cell>
          <cell r="E6" t="str">
            <v>Likely</v>
          </cell>
          <cell r="F6">
            <v>16</v>
          </cell>
          <cell r="G6" t="str">
            <v>Review of application of ECL model condcuted by senior management</v>
          </cell>
          <cell r="H6" t="str">
            <v>Effective</v>
          </cell>
          <cell r="I6">
            <v>6.4</v>
          </cell>
          <cell r="J6" t="str">
            <v>Tolerate</v>
          </cell>
          <cell r="K6">
            <v>0</v>
          </cell>
          <cell r="L6" t="str">
            <v>Head of Finance</v>
          </cell>
          <cell r="M6" t="str">
            <v xml:space="preserve">On-going </v>
          </cell>
          <cell r="N6">
            <v>0</v>
          </cell>
          <cell r="O6">
            <v>0</v>
          </cell>
          <cell r="P6">
            <v>0</v>
          </cell>
          <cell r="Q6" t="str">
            <v xml:space="preserve">On-going </v>
          </cell>
          <cell r="R6">
            <v>0</v>
          </cell>
        </row>
        <row r="7">
          <cell r="A7">
            <v>4</v>
          </cell>
          <cell r="B7" t="str">
            <v xml:space="preserve">To minimize incorrect calculation of the decomm and rehab provision. </v>
          </cell>
          <cell r="C7" t="str">
            <v xml:space="preserve">Significant judgements made in the determination of the decomm and rehab provision could result in incorrect conclusions. </v>
          </cell>
          <cell r="D7" t="str">
            <v>Critical</v>
          </cell>
          <cell r="E7" t="str">
            <v>Likely</v>
          </cell>
          <cell r="F7">
            <v>16</v>
          </cell>
          <cell r="G7" t="str">
            <v>Independent specialists conduct annual estimates of rehabilitation 'current cost estimates'. Reviewed for reasonablenss by Head of Mining</v>
          </cell>
          <cell r="H7" t="str">
            <v>Effective</v>
          </cell>
          <cell r="I7">
            <v>6.4</v>
          </cell>
          <cell r="J7" t="str">
            <v>Tolerate</v>
          </cell>
          <cell r="K7">
            <v>0</v>
          </cell>
          <cell r="L7" t="str">
            <v>Head of Mining</v>
          </cell>
          <cell r="M7" t="str">
            <v xml:space="preserve">On-going </v>
          </cell>
          <cell r="N7">
            <v>0</v>
          </cell>
          <cell r="O7">
            <v>0</v>
          </cell>
          <cell r="P7">
            <v>0</v>
          </cell>
          <cell r="Q7" t="str">
            <v xml:space="preserve">On-going </v>
          </cell>
          <cell r="R7">
            <v>0</v>
          </cell>
        </row>
        <row r="8">
          <cell r="A8">
            <v>5</v>
          </cell>
          <cell r="B8" t="str">
            <v xml:space="preserve">To minimize the risk of an incorrect interpretation of IFRS on complex accounting matters.  </v>
          </cell>
          <cell r="C8" t="str">
            <v xml:space="preserve">Incorrect opinions and conclusions reached in the accouting technical papers addressing complex accounting matters. </v>
          </cell>
          <cell r="D8" t="str">
            <v>Critical</v>
          </cell>
          <cell r="E8" t="str">
            <v>Moderate</v>
          </cell>
          <cell r="F8">
            <v>12</v>
          </cell>
          <cell r="G8" t="str">
            <v>External specialist assistance sought on new complex matters</v>
          </cell>
          <cell r="H8" t="str">
            <v>Effective</v>
          </cell>
          <cell r="I8">
            <v>4.8000000000000007</v>
          </cell>
          <cell r="J8" t="str">
            <v>Tolerate</v>
          </cell>
          <cell r="K8">
            <v>0</v>
          </cell>
          <cell r="L8" t="str">
            <v xml:space="preserve">Head of Group Reporting </v>
          </cell>
          <cell r="M8" t="str">
            <v xml:space="preserve">On-going </v>
          </cell>
          <cell r="N8">
            <v>0</v>
          </cell>
          <cell r="O8">
            <v>0</v>
          </cell>
          <cell r="P8">
            <v>0</v>
          </cell>
          <cell r="Q8" t="str">
            <v xml:space="preserve">On-going </v>
          </cell>
          <cell r="R8">
            <v>0</v>
          </cell>
        </row>
        <row r="9">
          <cell r="A9">
            <v>6</v>
          </cell>
          <cell r="B9" t="str">
            <v xml:space="preserve">To minimize the incorrect reporting of hyperinflation and translation of foreign currency amounts in International entities. </v>
          </cell>
          <cell r="C9" t="str">
            <v xml:space="preserve">IAS 29 - Financial reporting in hyperinflation economies (PPC Zimbabwe) and 
IAS 21 - The effects of changes in foreign exchange rates principles have not been correctly applied, resulting in the incorrect reporting of the International entities. </v>
          </cell>
          <cell r="D9" t="str">
            <v>Serious</v>
          </cell>
          <cell r="E9" t="str">
            <v>Likely</v>
          </cell>
          <cell r="F9">
            <v>12</v>
          </cell>
          <cell r="G9" t="str">
            <v>Use of standard independently reviewed hyperinflation model and automatic daily upload directly into SAP of average and closing exchange rates</v>
          </cell>
          <cell r="H9" t="str">
            <v>Effective</v>
          </cell>
          <cell r="I9">
            <v>4.8000000000000007</v>
          </cell>
          <cell r="J9" t="str">
            <v>Tolerate</v>
          </cell>
          <cell r="K9">
            <v>0</v>
          </cell>
          <cell r="L9" t="str">
            <v xml:space="preserve">Head of Group Reporting </v>
          </cell>
          <cell r="M9" t="str">
            <v xml:space="preserve">On-going </v>
          </cell>
          <cell r="N9">
            <v>0</v>
          </cell>
          <cell r="O9">
            <v>0</v>
          </cell>
          <cell r="P9">
            <v>0</v>
          </cell>
          <cell r="Q9" t="str">
            <v xml:space="preserve">On-going </v>
          </cell>
          <cell r="R9">
            <v>0</v>
          </cell>
        </row>
        <row r="10">
          <cell r="A10">
            <v>7</v>
          </cell>
          <cell r="B10" t="str">
            <v xml:space="preserve">To minimize the risk of inadequate skills and competence of finance personnel in relation to their ability to use finance IT systems. </v>
          </cell>
          <cell r="C10" t="str">
            <v xml:space="preserve">Finance personnel do not have the adequate skills and competence to use finance IT systems. </v>
          </cell>
          <cell r="D10" t="str">
            <v>Catastrophic</v>
          </cell>
          <cell r="E10" t="str">
            <v>Almost Certain</v>
          </cell>
          <cell r="F10">
            <v>25</v>
          </cell>
          <cell r="G10" t="str">
            <v xml:space="preserve">SAP training for finance personnel </v>
          </cell>
          <cell r="H10" t="str">
            <v>Ineffective</v>
          </cell>
          <cell r="I10">
            <v>20</v>
          </cell>
          <cell r="J10" t="str">
            <v>Treat</v>
          </cell>
          <cell r="K10">
            <v>0</v>
          </cell>
          <cell r="L10" t="str">
            <v xml:space="preserve">Chief Financial Officer </v>
          </cell>
          <cell r="M10" t="str">
            <v xml:space="preserve">On-going </v>
          </cell>
          <cell r="N10">
            <v>0</v>
          </cell>
          <cell r="O10">
            <v>0</v>
          </cell>
          <cell r="P10">
            <v>0</v>
          </cell>
          <cell r="Q10" t="str">
            <v xml:space="preserve">On-going </v>
          </cell>
          <cell r="R10">
            <v>0</v>
          </cell>
        </row>
        <row r="11">
          <cell r="A11">
            <v>8</v>
          </cell>
          <cell r="B11" t="str">
            <v>To minimize the risk of income tax computations being incorrectly prepared.</v>
          </cell>
          <cell r="C11" t="str">
            <v xml:space="preserve">Income tax compuations are incorrectly prepared. </v>
          </cell>
          <cell r="D11" t="str">
            <v>Critical</v>
          </cell>
          <cell r="E11" t="str">
            <v>Likely</v>
          </cell>
          <cell r="F11">
            <v>16</v>
          </cell>
          <cell r="G11" t="str">
            <v>The  use of TaxPacc (a standard template for tax computations) and the review of income tax computations by the Head Group Tax</v>
          </cell>
          <cell r="H11" t="str">
            <v>Effective</v>
          </cell>
          <cell r="I11">
            <v>6.4</v>
          </cell>
          <cell r="J11" t="str">
            <v>Tolerate</v>
          </cell>
          <cell r="K11">
            <v>0</v>
          </cell>
          <cell r="L11" t="str">
            <v>Head of Group Tax</v>
          </cell>
          <cell r="M11" t="str">
            <v xml:space="preserve">On-going </v>
          </cell>
          <cell r="N11">
            <v>0</v>
          </cell>
          <cell r="O11">
            <v>0</v>
          </cell>
          <cell r="P11">
            <v>0</v>
          </cell>
          <cell r="Q11" t="str">
            <v xml:space="preserve">On-going </v>
          </cell>
          <cell r="R11">
            <v>0</v>
          </cell>
        </row>
        <row r="12">
          <cell r="A12">
            <v>9</v>
          </cell>
          <cell r="B12" t="str">
            <v>To ensure that the group has adequate funding to meet its financial obligations.</v>
          </cell>
          <cell r="C12" t="str">
            <v>Liquidity risk - Inadequate liquidity to fund the business</v>
          </cell>
          <cell r="D12" t="str">
            <v>Catastrophic</v>
          </cell>
          <cell r="E12" t="str">
            <v>Moderate</v>
          </cell>
          <cell r="F12">
            <v>15</v>
          </cell>
          <cell r="G12" t="str">
            <v>Debt facilities refinanced for the next 3-5 years in South Africa
Smooth maturity profile
Overall de-gearing as a result of sale of non-core assets
Monitoring of International operations, that they have sufficient facilities/cash on hand to address liquidity requirements
Strict monitoring of performance against budget</v>
          </cell>
          <cell r="H12" t="str">
            <v>Effective</v>
          </cell>
          <cell r="I12">
            <v>6</v>
          </cell>
          <cell r="J12" t="str">
            <v>Tolerate</v>
          </cell>
          <cell r="K12">
            <v>0</v>
          </cell>
          <cell r="L12" t="str">
            <v>Head of Treasury, Risk and Assurance</v>
          </cell>
          <cell r="M12" t="str">
            <v xml:space="preserve">On-going </v>
          </cell>
          <cell r="N12">
            <v>0</v>
          </cell>
          <cell r="O12">
            <v>0</v>
          </cell>
          <cell r="P12">
            <v>0</v>
          </cell>
          <cell r="Q12" t="str">
            <v xml:space="preserve">On-going </v>
          </cell>
          <cell r="R12">
            <v>0</v>
          </cell>
        </row>
        <row r="13">
          <cell r="A13">
            <v>10</v>
          </cell>
          <cell r="B13" t="str">
            <v>To ensure compliance with the loan covenants requirements</v>
          </cell>
          <cell r="C13" t="str">
            <v>Funding risk - Breach of funding covenants</v>
          </cell>
          <cell r="D13" t="str">
            <v>Catastrophic</v>
          </cell>
          <cell r="E13" t="str">
            <v>Moderate</v>
          </cell>
          <cell r="F13">
            <v>15</v>
          </cell>
          <cell r="G13" t="str">
            <v>Actual covenants and outlook for covenants (for at least one year) are reviewed and monitored on a monthly basis</v>
          </cell>
          <cell r="H13" t="str">
            <v>Effective</v>
          </cell>
          <cell r="I13">
            <v>6</v>
          </cell>
          <cell r="J13" t="str">
            <v>Tolerate</v>
          </cell>
          <cell r="K13">
            <v>0</v>
          </cell>
          <cell r="L13" t="str">
            <v>Head of Treasury, Risk and Assurance</v>
          </cell>
          <cell r="M13" t="str">
            <v xml:space="preserve">On-going </v>
          </cell>
          <cell r="N13">
            <v>0</v>
          </cell>
          <cell r="O13">
            <v>0</v>
          </cell>
          <cell r="P13">
            <v>0</v>
          </cell>
          <cell r="Q13" t="str">
            <v xml:space="preserve">On-going </v>
          </cell>
          <cell r="R13">
            <v>0</v>
          </cell>
        </row>
        <row r="14">
          <cell r="A14">
            <v>11</v>
          </cell>
          <cell r="B14" t="str">
            <v xml:space="preserve">To minimise the impact of adverse currency fluctuations on foreign currency transactions. </v>
          </cell>
          <cell r="C14" t="str">
            <v>Exposure to foreign currency transactions.</v>
          </cell>
          <cell r="D14" t="str">
            <v>Serious</v>
          </cell>
          <cell r="E14" t="str">
            <v>Moderate</v>
          </cell>
          <cell r="F14">
            <v>9</v>
          </cell>
          <cell r="G14" t="str">
            <v>The treasury policy provides guidance for the management of foreign exchange rate risk including a hedging strategy. Monthly monitoring of policy compliance</v>
          </cell>
          <cell r="H14" t="str">
            <v>Effective</v>
          </cell>
          <cell r="I14">
            <v>3.6</v>
          </cell>
          <cell r="J14" t="str">
            <v>Tolerate</v>
          </cell>
          <cell r="K14">
            <v>0</v>
          </cell>
          <cell r="L14" t="str">
            <v>Head of Treasury, Risk and Assurance</v>
          </cell>
          <cell r="M14" t="str">
            <v xml:space="preserve">On-going </v>
          </cell>
          <cell r="N14">
            <v>0</v>
          </cell>
          <cell r="O14">
            <v>0</v>
          </cell>
          <cell r="P14">
            <v>0</v>
          </cell>
          <cell r="Q14" t="str">
            <v xml:space="preserve">On-going </v>
          </cell>
          <cell r="R14">
            <v>0</v>
          </cell>
        </row>
        <row r="15">
          <cell r="A15">
            <v>12</v>
          </cell>
          <cell r="B15" t="str">
            <v>To minimise the impact of adverse interest rate fluctuations</v>
          </cell>
          <cell r="C15" t="str">
            <v>Interest rate risk - Material adverse movement in interest rates</v>
          </cell>
          <cell r="D15" t="str">
            <v>Critical</v>
          </cell>
          <cell r="E15" t="str">
            <v>Likely</v>
          </cell>
          <cell r="F15">
            <v>16</v>
          </cell>
          <cell r="G15" t="str">
            <v>Interest  rates are monitored on an ongoing basis to ensure an optimum mix of fixed and floating rates in line with the treasury policy.</v>
          </cell>
          <cell r="H15" t="str">
            <v>Effective</v>
          </cell>
          <cell r="I15">
            <v>6.4</v>
          </cell>
          <cell r="J15" t="str">
            <v>Tolerate</v>
          </cell>
          <cell r="K15">
            <v>0</v>
          </cell>
          <cell r="L15" t="str">
            <v>Head of Treasury, Risk and Assurance</v>
          </cell>
          <cell r="M15" t="str">
            <v xml:space="preserve">On-going </v>
          </cell>
          <cell r="N15">
            <v>0</v>
          </cell>
          <cell r="O15">
            <v>0</v>
          </cell>
          <cell r="P15">
            <v>0</v>
          </cell>
          <cell r="Q15" t="str">
            <v xml:space="preserve">On-going </v>
          </cell>
          <cell r="R15">
            <v>0</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row>
        <row r="18">
          <cell r="A18">
            <v>0</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row>
        <row r="19">
          <cell r="A19">
            <v>0</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row>
        <row r="20">
          <cell r="A20">
            <v>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A21">
            <v>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A22">
            <v>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A24">
            <v>0</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A25">
            <v>0</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row>
        <row r="27">
          <cell r="A27">
            <v>0</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G28">
            <v>0</v>
          </cell>
          <cell r="H28">
            <v>0</v>
          </cell>
          <cell r="I28">
            <v>0</v>
          </cell>
          <cell r="J28">
            <v>0</v>
          </cell>
          <cell r="K28">
            <v>0</v>
          </cell>
          <cell r="L28">
            <v>0</v>
          </cell>
          <cell r="M28">
            <v>0</v>
          </cell>
          <cell r="N28">
            <v>0</v>
          </cell>
          <cell r="O28">
            <v>0</v>
          </cell>
          <cell r="R28">
            <v>0</v>
          </cell>
        </row>
        <row r="29">
          <cell r="B29">
            <v>0</v>
          </cell>
          <cell r="D29">
            <v>0</v>
          </cell>
          <cell r="E29">
            <v>0</v>
          </cell>
          <cell r="F29">
            <v>0</v>
          </cell>
          <cell r="I29">
            <v>0</v>
          </cell>
          <cell r="N29">
            <v>0</v>
          </cell>
          <cell r="O29">
            <v>0</v>
          </cell>
          <cell r="R29">
            <v>0</v>
          </cell>
        </row>
        <row r="30">
          <cell r="B30">
            <v>0</v>
          </cell>
          <cell r="D30">
            <v>0</v>
          </cell>
          <cell r="F30">
            <v>0</v>
          </cell>
          <cell r="I30">
            <v>0</v>
          </cell>
          <cell r="N30">
            <v>0</v>
          </cell>
          <cell r="O30">
            <v>0</v>
          </cell>
          <cell r="R30">
            <v>0</v>
          </cell>
        </row>
        <row r="31">
          <cell r="C31">
            <v>0</v>
          </cell>
          <cell r="D31">
            <v>0</v>
          </cell>
          <cell r="F31">
            <v>0</v>
          </cell>
          <cell r="I31">
            <v>0</v>
          </cell>
          <cell r="N31">
            <v>0</v>
          </cell>
          <cell r="O31">
            <v>0</v>
          </cell>
          <cell r="R31">
            <v>0</v>
          </cell>
        </row>
        <row r="32">
          <cell r="D32">
            <v>0</v>
          </cell>
          <cell r="F32">
            <v>0</v>
          </cell>
          <cell r="I32">
            <v>0</v>
          </cell>
          <cell r="N32">
            <v>0</v>
          </cell>
          <cell r="O32">
            <v>0</v>
          </cell>
          <cell r="R32">
            <v>0</v>
          </cell>
        </row>
        <row r="33">
          <cell r="D33">
            <v>0</v>
          </cell>
          <cell r="F33">
            <v>0</v>
          </cell>
          <cell r="I33">
            <v>0</v>
          </cell>
          <cell r="N33">
            <v>0</v>
          </cell>
          <cell r="O33">
            <v>0</v>
          </cell>
          <cell r="R33">
            <v>0</v>
          </cell>
        </row>
        <row r="34">
          <cell r="D34">
            <v>0</v>
          </cell>
          <cell r="F34">
            <v>0</v>
          </cell>
          <cell r="I34">
            <v>0</v>
          </cell>
          <cell r="N34">
            <v>0</v>
          </cell>
          <cell r="O34">
            <v>0</v>
          </cell>
          <cell r="R34">
            <v>0</v>
          </cell>
        </row>
        <row r="35">
          <cell r="D35">
            <v>0</v>
          </cell>
          <cell r="F35">
            <v>0</v>
          </cell>
          <cell r="I35">
            <v>0</v>
          </cell>
          <cell r="N35">
            <v>0</v>
          </cell>
          <cell r="O35">
            <v>0</v>
          </cell>
          <cell r="R35">
            <v>0</v>
          </cell>
        </row>
        <row r="36">
          <cell r="D36">
            <v>0</v>
          </cell>
          <cell r="F36">
            <v>0</v>
          </cell>
          <cell r="I36">
            <v>0</v>
          </cell>
          <cell r="N36">
            <v>0</v>
          </cell>
          <cell r="O36">
            <v>0</v>
          </cell>
          <cell r="R36">
            <v>0</v>
          </cell>
        </row>
        <row r="37">
          <cell r="D37">
            <v>0</v>
          </cell>
          <cell r="F37">
            <v>0</v>
          </cell>
          <cell r="I37">
            <v>0</v>
          </cell>
          <cell r="N37">
            <v>0</v>
          </cell>
          <cell r="O37">
            <v>0</v>
          </cell>
          <cell r="R37">
            <v>0</v>
          </cell>
        </row>
        <row r="38">
          <cell r="D38">
            <v>0</v>
          </cell>
          <cell r="F38">
            <v>0</v>
          </cell>
          <cell r="I38">
            <v>0</v>
          </cell>
          <cell r="N38">
            <v>0</v>
          </cell>
          <cell r="O38">
            <v>0</v>
          </cell>
          <cell r="R38">
            <v>0</v>
          </cell>
        </row>
        <row r="39">
          <cell r="D39">
            <v>0</v>
          </cell>
          <cell r="F39">
            <v>0</v>
          </cell>
          <cell r="I39">
            <v>0</v>
          </cell>
          <cell r="N39">
            <v>0</v>
          </cell>
          <cell r="O39">
            <v>0</v>
          </cell>
          <cell r="R39">
            <v>0</v>
          </cell>
        </row>
        <row r="40">
          <cell r="D40">
            <v>0</v>
          </cell>
          <cell r="F40">
            <v>0</v>
          </cell>
          <cell r="I40">
            <v>0</v>
          </cell>
          <cell r="N40">
            <v>0</v>
          </cell>
          <cell r="O40">
            <v>0</v>
          </cell>
          <cell r="R40">
            <v>0</v>
          </cell>
        </row>
        <row r="41">
          <cell r="D41">
            <v>0</v>
          </cell>
          <cell r="F41">
            <v>0</v>
          </cell>
          <cell r="I41">
            <v>0</v>
          </cell>
          <cell r="N41">
            <v>0</v>
          </cell>
          <cell r="O41">
            <v>0</v>
          </cell>
          <cell r="R41">
            <v>0</v>
          </cell>
        </row>
        <row r="42">
          <cell r="D42">
            <v>0</v>
          </cell>
          <cell r="F42">
            <v>0</v>
          </cell>
          <cell r="I42">
            <v>0</v>
          </cell>
          <cell r="N42">
            <v>0</v>
          </cell>
          <cell r="O42">
            <v>0</v>
          </cell>
          <cell r="R42">
            <v>0</v>
          </cell>
        </row>
        <row r="43">
          <cell r="D43">
            <v>0</v>
          </cell>
          <cell r="F43">
            <v>0</v>
          </cell>
          <cell r="I43">
            <v>0</v>
          </cell>
          <cell r="N43">
            <v>0</v>
          </cell>
          <cell r="O43">
            <v>0</v>
          </cell>
          <cell r="R43">
            <v>0</v>
          </cell>
        </row>
        <row r="44">
          <cell r="D44">
            <v>0</v>
          </cell>
          <cell r="F44">
            <v>0</v>
          </cell>
          <cell r="I44">
            <v>0</v>
          </cell>
          <cell r="N44">
            <v>0</v>
          </cell>
          <cell r="O44">
            <v>0</v>
          </cell>
          <cell r="R44">
            <v>0</v>
          </cell>
        </row>
        <row r="45">
          <cell r="D45">
            <v>0</v>
          </cell>
          <cell r="F45">
            <v>0</v>
          </cell>
          <cell r="I45">
            <v>0</v>
          </cell>
          <cell r="N45">
            <v>0</v>
          </cell>
          <cell r="O45">
            <v>0</v>
          </cell>
          <cell r="R45">
            <v>0</v>
          </cell>
        </row>
        <row r="46">
          <cell r="D46">
            <v>0</v>
          </cell>
          <cell r="F46">
            <v>0</v>
          </cell>
          <cell r="I46">
            <v>0</v>
          </cell>
          <cell r="N46">
            <v>0</v>
          </cell>
          <cell r="O46">
            <v>0</v>
          </cell>
          <cell r="R46">
            <v>0</v>
          </cell>
        </row>
        <row r="47">
          <cell r="D47">
            <v>0</v>
          </cell>
          <cell r="F47">
            <v>0</v>
          </cell>
          <cell r="I47">
            <v>0</v>
          </cell>
          <cell r="N47">
            <v>0</v>
          </cell>
          <cell r="O47">
            <v>0</v>
          </cell>
          <cell r="R47">
            <v>0</v>
          </cell>
        </row>
        <row r="48">
          <cell r="D48">
            <v>0</v>
          </cell>
          <cell r="F48">
            <v>0</v>
          </cell>
          <cell r="I48">
            <v>0</v>
          </cell>
          <cell r="N48">
            <v>0</v>
          </cell>
          <cell r="O48">
            <v>0</v>
          </cell>
          <cell r="R48">
            <v>0</v>
          </cell>
        </row>
        <row r="49">
          <cell r="D49">
            <v>0</v>
          </cell>
          <cell r="F49">
            <v>0</v>
          </cell>
          <cell r="I49">
            <v>0</v>
          </cell>
          <cell r="N49">
            <v>0</v>
          </cell>
          <cell r="O49">
            <v>0</v>
          </cell>
          <cell r="R49">
            <v>0</v>
          </cell>
        </row>
        <row r="50">
          <cell r="D50">
            <v>0</v>
          </cell>
          <cell r="F50">
            <v>0</v>
          </cell>
          <cell r="I50">
            <v>0</v>
          </cell>
          <cell r="N50">
            <v>0</v>
          </cell>
          <cell r="O50">
            <v>0</v>
          </cell>
          <cell r="R50">
            <v>0</v>
          </cell>
        </row>
        <row r="51">
          <cell r="D51">
            <v>0</v>
          </cell>
          <cell r="F51">
            <v>0</v>
          </cell>
          <cell r="I51">
            <v>0</v>
          </cell>
          <cell r="N51">
            <v>0</v>
          </cell>
          <cell r="O51">
            <v>0</v>
          </cell>
          <cell r="R51">
            <v>0</v>
          </cell>
        </row>
        <row r="52">
          <cell r="D52">
            <v>0</v>
          </cell>
          <cell r="F52">
            <v>0</v>
          </cell>
          <cell r="I52">
            <v>0</v>
          </cell>
          <cell r="N52">
            <v>0</v>
          </cell>
          <cell r="O52">
            <v>0</v>
          </cell>
          <cell r="R52">
            <v>0</v>
          </cell>
        </row>
        <row r="53">
          <cell r="D53">
            <v>0</v>
          </cell>
          <cell r="F53">
            <v>0</v>
          </cell>
          <cell r="I53">
            <v>0</v>
          </cell>
          <cell r="N53">
            <v>0</v>
          </cell>
          <cell r="O53">
            <v>0</v>
          </cell>
          <cell r="R53">
            <v>0</v>
          </cell>
        </row>
        <row r="54">
          <cell r="D54">
            <v>0</v>
          </cell>
          <cell r="F54">
            <v>0</v>
          </cell>
          <cell r="I54">
            <v>0</v>
          </cell>
          <cell r="N54">
            <v>0</v>
          </cell>
          <cell r="O54">
            <v>0</v>
          </cell>
          <cell r="R54">
            <v>0</v>
          </cell>
        </row>
        <row r="55">
          <cell r="D55">
            <v>0</v>
          </cell>
          <cell r="F55">
            <v>0</v>
          </cell>
          <cell r="I55">
            <v>0</v>
          </cell>
          <cell r="N55">
            <v>0</v>
          </cell>
          <cell r="O55">
            <v>0</v>
          </cell>
          <cell r="R55">
            <v>0</v>
          </cell>
        </row>
        <row r="56">
          <cell r="D56">
            <v>0</v>
          </cell>
          <cell r="F56">
            <v>0</v>
          </cell>
          <cell r="I56">
            <v>0</v>
          </cell>
          <cell r="N56">
            <v>0</v>
          </cell>
          <cell r="O56">
            <v>0</v>
          </cell>
          <cell r="R56">
            <v>0</v>
          </cell>
        </row>
        <row r="57">
          <cell r="D57">
            <v>0</v>
          </cell>
          <cell r="F57">
            <v>0</v>
          </cell>
          <cell r="I57">
            <v>0</v>
          </cell>
          <cell r="N57">
            <v>0</v>
          </cell>
          <cell r="O57">
            <v>0</v>
          </cell>
          <cell r="R57">
            <v>0</v>
          </cell>
        </row>
        <row r="58">
          <cell r="C58">
            <v>0</v>
          </cell>
          <cell r="D58">
            <v>0</v>
          </cell>
          <cell r="F58">
            <v>0</v>
          </cell>
          <cell r="G58">
            <v>0</v>
          </cell>
          <cell r="I58">
            <v>0</v>
          </cell>
          <cell r="K58">
            <v>0</v>
          </cell>
          <cell r="L58">
            <v>0</v>
          </cell>
          <cell r="N58">
            <v>0</v>
          </cell>
          <cell r="O58">
            <v>0</v>
          </cell>
          <cell r="P58">
            <v>0</v>
          </cell>
          <cell r="Q58">
            <v>0</v>
          </cell>
          <cell r="R58">
            <v>0</v>
          </cell>
        </row>
        <row r="59">
          <cell r="C59">
            <v>0</v>
          </cell>
          <cell r="D59">
            <v>0</v>
          </cell>
          <cell r="F59">
            <v>0</v>
          </cell>
          <cell r="G59">
            <v>0</v>
          </cell>
          <cell r="I59">
            <v>0</v>
          </cell>
          <cell r="K59">
            <v>0</v>
          </cell>
          <cell r="L59">
            <v>0</v>
          </cell>
          <cell r="N59">
            <v>0</v>
          </cell>
          <cell r="O59">
            <v>0</v>
          </cell>
          <cell r="P59">
            <v>0</v>
          </cell>
          <cell r="Q59">
            <v>0</v>
          </cell>
          <cell r="R59">
            <v>0</v>
          </cell>
        </row>
        <row r="60">
          <cell r="C60">
            <v>0</v>
          </cell>
          <cell r="D60">
            <v>0</v>
          </cell>
          <cell r="F60">
            <v>0</v>
          </cell>
          <cell r="G60">
            <v>0</v>
          </cell>
          <cell r="I60">
            <v>0</v>
          </cell>
          <cell r="K60">
            <v>0</v>
          </cell>
          <cell r="L60">
            <v>0</v>
          </cell>
          <cell r="N60">
            <v>0</v>
          </cell>
          <cell r="O60">
            <v>0</v>
          </cell>
          <cell r="P60">
            <v>0</v>
          </cell>
          <cell r="Q60">
            <v>0</v>
          </cell>
          <cell r="R60">
            <v>0</v>
          </cell>
        </row>
        <row r="61">
          <cell r="C61">
            <v>0</v>
          </cell>
          <cell r="D61">
            <v>0</v>
          </cell>
          <cell r="F61">
            <v>0</v>
          </cell>
          <cell r="G61">
            <v>0</v>
          </cell>
          <cell r="I61">
            <v>0</v>
          </cell>
          <cell r="K61">
            <v>0</v>
          </cell>
          <cell r="L61">
            <v>0</v>
          </cell>
          <cell r="N61">
            <v>0</v>
          </cell>
          <cell r="O61">
            <v>0</v>
          </cell>
          <cell r="P61">
            <v>0</v>
          </cell>
          <cell r="Q61">
            <v>0</v>
          </cell>
          <cell r="R61">
            <v>0</v>
          </cell>
        </row>
        <row r="62">
          <cell r="C62">
            <v>0</v>
          </cell>
          <cell r="D62">
            <v>0</v>
          </cell>
          <cell r="F62">
            <v>0</v>
          </cell>
          <cell r="G62">
            <v>0</v>
          </cell>
          <cell r="I62">
            <v>0</v>
          </cell>
          <cell r="K62">
            <v>0</v>
          </cell>
          <cell r="L62">
            <v>0</v>
          </cell>
          <cell r="N62">
            <v>0</v>
          </cell>
          <cell r="O62">
            <v>0</v>
          </cell>
          <cell r="P62">
            <v>0</v>
          </cell>
          <cell r="Q62">
            <v>0</v>
          </cell>
          <cell r="R62">
            <v>0</v>
          </cell>
        </row>
        <row r="63">
          <cell r="C63">
            <v>0</v>
          </cell>
          <cell r="D63">
            <v>0</v>
          </cell>
          <cell r="F63">
            <v>0</v>
          </cell>
          <cell r="G63">
            <v>0</v>
          </cell>
          <cell r="I63">
            <v>0</v>
          </cell>
          <cell r="K63">
            <v>0</v>
          </cell>
          <cell r="L63">
            <v>0</v>
          </cell>
          <cell r="N63">
            <v>0</v>
          </cell>
          <cell r="O63">
            <v>0</v>
          </cell>
          <cell r="P63">
            <v>0</v>
          </cell>
          <cell r="Q63">
            <v>0</v>
          </cell>
          <cell r="R63">
            <v>0</v>
          </cell>
        </row>
        <row r="64">
          <cell r="C64">
            <v>0</v>
          </cell>
          <cell r="D64">
            <v>0</v>
          </cell>
          <cell r="F64">
            <v>0</v>
          </cell>
          <cell r="G64">
            <v>0</v>
          </cell>
          <cell r="I64">
            <v>0</v>
          </cell>
          <cell r="K64">
            <v>0</v>
          </cell>
          <cell r="L64">
            <v>0</v>
          </cell>
          <cell r="N64">
            <v>0</v>
          </cell>
          <cell r="O64">
            <v>0</v>
          </cell>
          <cell r="P64">
            <v>0</v>
          </cell>
          <cell r="Q64">
            <v>0</v>
          </cell>
          <cell r="R64">
            <v>0</v>
          </cell>
        </row>
        <row r="65">
          <cell r="C65">
            <v>0</v>
          </cell>
          <cell r="D65">
            <v>0</v>
          </cell>
          <cell r="F65">
            <v>0</v>
          </cell>
          <cell r="G65">
            <v>0</v>
          </cell>
          <cell r="I65">
            <v>0</v>
          </cell>
          <cell r="K65">
            <v>0</v>
          </cell>
          <cell r="L65">
            <v>0</v>
          </cell>
          <cell r="N65">
            <v>0</v>
          </cell>
          <cell r="O65">
            <v>0</v>
          </cell>
          <cell r="P65">
            <v>0</v>
          </cell>
          <cell r="Q65">
            <v>0</v>
          </cell>
          <cell r="R65">
            <v>0</v>
          </cell>
        </row>
        <row r="66">
          <cell r="C66">
            <v>0</v>
          </cell>
          <cell r="D66">
            <v>0</v>
          </cell>
          <cell r="F66">
            <v>0</v>
          </cell>
          <cell r="G66">
            <v>0</v>
          </cell>
          <cell r="I66">
            <v>0</v>
          </cell>
          <cell r="K66">
            <v>0</v>
          </cell>
          <cell r="L66">
            <v>0</v>
          </cell>
          <cell r="N66">
            <v>0</v>
          </cell>
          <cell r="O66">
            <v>0</v>
          </cell>
          <cell r="P66">
            <v>0</v>
          </cell>
          <cell r="Q66">
            <v>0</v>
          </cell>
          <cell r="R66">
            <v>0</v>
          </cell>
        </row>
        <row r="67">
          <cell r="C67">
            <v>0</v>
          </cell>
          <cell r="D67">
            <v>0</v>
          </cell>
          <cell r="F67">
            <v>0</v>
          </cell>
          <cell r="G67">
            <v>0</v>
          </cell>
          <cell r="I67">
            <v>0</v>
          </cell>
          <cell r="K67">
            <v>0</v>
          </cell>
          <cell r="L67">
            <v>0</v>
          </cell>
          <cell r="N67">
            <v>0</v>
          </cell>
          <cell r="O67">
            <v>0</v>
          </cell>
          <cell r="P67">
            <v>0</v>
          </cell>
          <cell r="Q67">
            <v>0</v>
          </cell>
          <cell r="R67">
            <v>0</v>
          </cell>
        </row>
        <row r="68">
          <cell r="C68">
            <v>0</v>
          </cell>
          <cell r="D68">
            <v>0</v>
          </cell>
          <cell r="F68">
            <v>0</v>
          </cell>
          <cell r="G68">
            <v>0</v>
          </cell>
          <cell r="I68">
            <v>0</v>
          </cell>
          <cell r="K68">
            <v>0</v>
          </cell>
          <cell r="L68">
            <v>0</v>
          </cell>
          <cell r="N68">
            <v>0</v>
          </cell>
          <cell r="O68">
            <v>0</v>
          </cell>
          <cell r="P68">
            <v>0</v>
          </cell>
          <cell r="Q68">
            <v>0</v>
          </cell>
          <cell r="R68">
            <v>0</v>
          </cell>
        </row>
        <row r="69">
          <cell r="C69">
            <v>0</v>
          </cell>
          <cell r="D69">
            <v>0</v>
          </cell>
          <cell r="F69">
            <v>0</v>
          </cell>
          <cell r="G69">
            <v>0</v>
          </cell>
          <cell r="I69">
            <v>0</v>
          </cell>
          <cell r="K69">
            <v>0</v>
          </cell>
          <cell r="L69">
            <v>0</v>
          </cell>
          <cell r="N69">
            <v>0</v>
          </cell>
          <cell r="O69">
            <v>0</v>
          </cell>
          <cell r="P69">
            <v>0</v>
          </cell>
          <cell r="Q69">
            <v>0</v>
          </cell>
          <cell r="R69">
            <v>0</v>
          </cell>
        </row>
        <row r="70">
          <cell r="C70">
            <v>0</v>
          </cell>
          <cell r="D70">
            <v>0</v>
          </cell>
          <cell r="F70">
            <v>0</v>
          </cell>
          <cell r="G70">
            <v>0</v>
          </cell>
          <cell r="I70">
            <v>0</v>
          </cell>
          <cell r="K70">
            <v>0</v>
          </cell>
          <cell r="L70">
            <v>0</v>
          </cell>
          <cell r="N70">
            <v>0</v>
          </cell>
          <cell r="O70">
            <v>0</v>
          </cell>
          <cell r="P70">
            <v>0</v>
          </cell>
          <cell r="Q70">
            <v>0</v>
          </cell>
          <cell r="R70">
            <v>0</v>
          </cell>
        </row>
        <row r="71">
          <cell r="C71">
            <v>0</v>
          </cell>
          <cell r="D71">
            <v>0</v>
          </cell>
          <cell r="F71">
            <v>0</v>
          </cell>
          <cell r="G71">
            <v>0</v>
          </cell>
          <cell r="I71">
            <v>0</v>
          </cell>
          <cell r="K71">
            <v>0</v>
          </cell>
          <cell r="L71">
            <v>0</v>
          </cell>
          <cell r="N71">
            <v>0</v>
          </cell>
          <cell r="O71">
            <v>0</v>
          </cell>
          <cell r="P71">
            <v>0</v>
          </cell>
          <cell r="Q71">
            <v>0</v>
          </cell>
          <cell r="R71">
            <v>0</v>
          </cell>
        </row>
        <row r="72">
          <cell r="C72">
            <v>0</v>
          </cell>
          <cell r="D72">
            <v>0</v>
          </cell>
          <cell r="F72">
            <v>0</v>
          </cell>
          <cell r="G72">
            <v>0</v>
          </cell>
          <cell r="I72">
            <v>0</v>
          </cell>
          <cell r="K72">
            <v>0</v>
          </cell>
          <cell r="L72">
            <v>0</v>
          </cell>
          <cell r="N72">
            <v>0</v>
          </cell>
          <cell r="O72">
            <v>0</v>
          </cell>
          <cell r="P72">
            <v>0</v>
          </cell>
          <cell r="Q72">
            <v>0</v>
          </cell>
          <cell r="R72">
            <v>0</v>
          </cell>
        </row>
        <row r="73">
          <cell r="C73">
            <v>0</v>
          </cell>
          <cell r="D73">
            <v>0</v>
          </cell>
          <cell r="F73">
            <v>0</v>
          </cell>
          <cell r="G73">
            <v>0</v>
          </cell>
          <cell r="I73">
            <v>0</v>
          </cell>
          <cell r="K73">
            <v>0</v>
          </cell>
          <cell r="L73">
            <v>0</v>
          </cell>
          <cell r="N73">
            <v>0</v>
          </cell>
          <cell r="O73">
            <v>0</v>
          </cell>
          <cell r="P73">
            <v>0</v>
          </cell>
          <cell r="Q73">
            <v>0</v>
          </cell>
          <cell r="R73">
            <v>0</v>
          </cell>
        </row>
        <row r="74">
          <cell r="D74">
            <v>0</v>
          </cell>
          <cell r="F74">
            <v>0</v>
          </cell>
          <cell r="G74">
            <v>0</v>
          </cell>
          <cell r="I74">
            <v>0</v>
          </cell>
          <cell r="K74">
            <v>0</v>
          </cell>
          <cell r="L74">
            <v>0</v>
          </cell>
          <cell r="N74">
            <v>0</v>
          </cell>
          <cell r="O74">
            <v>0</v>
          </cell>
          <cell r="P74">
            <v>0</v>
          </cell>
          <cell r="Q74">
            <v>0</v>
          </cell>
          <cell r="R74">
            <v>0</v>
          </cell>
        </row>
        <row r="75">
          <cell r="D75">
            <v>0</v>
          </cell>
          <cell r="F75">
            <v>0</v>
          </cell>
          <cell r="G75">
            <v>0</v>
          </cell>
          <cell r="I75">
            <v>0</v>
          </cell>
          <cell r="K75">
            <v>0</v>
          </cell>
          <cell r="L75">
            <v>0</v>
          </cell>
          <cell r="N75">
            <v>0</v>
          </cell>
          <cell r="O75">
            <v>0</v>
          </cell>
          <cell r="P75">
            <v>0</v>
          </cell>
          <cell r="Q75">
            <v>0</v>
          </cell>
          <cell r="R75">
            <v>0</v>
          </cell>
        </row>
        <row r="76">
          <cell r="D76">
            <v>0</v>
          </cell>
          <cell r="F76">
            <v>0</v>
          </cell>
          <cell r="G76">
            <v>0</v>
          </cell>
          <cell r="I76">
            <v>0</v>
          </cell>
          <cell r="K76">
            <v>0</v>
          </cell>
          <cell r="L76">
            <v>0</v>
          </cell>
          <cell r="N76">
            <v>0</v>
          </cell>
          <cell r="O76">
            <v>0</v>
          </cell>
          <cell r="P76">
            <v>0</v>
          </cell>
          <cell r="Q76">
            <v>0</v>
          </cell>
          <cell r="R76">
            <v>0</v>
          </cell>
        </row>
        <row r="77">
          <cell r="D77">
            <v>0</v>
          </cell>
          <cell r="F77">
            <v>0</v>
          </cell>
          <cell r="G77">
            <v>0</v>
          </cell>
          <cell r="I77">
            <v>0</v>
          </cell>
          <cell r="K77">
            <v>0</v>
          </cell>
          <cell r="L77">
            <v>0</v>
          </cell>
          <cell r="N77">
            <v>0</v>
          </cell>
          <cell r="O77">
            <v>0</v>
          </cell>
          <cell r="P77">
            <v>0</v>
          </cell>
          <cell r="Q77">
            <v>0</v>
          </cell>
          <cell r="R77">
            <v>0</v>
          </cell>
        </row>
        <row r="78">
          <cell r="D78">
            <v>0</v>
          </cell>
          <cell r="F78">
            <v>0</v>
          </cell>
          <cell r="G78">
            <v>0</v>
          </cell>
          <cell r="I78">
            <v>0</v>
          </cell>
          <cell r="K78">
            <v>0</v>
          </cell>
          <cell r="L78">
            <v>0</v>
          </cell>
          <cell r="N78">
            <v>0</v>
          </cell>
          <cell r="O78">
            <v>0</v>
          </cell>
          <cell r="P78">
            <v>0</v>
          </cell>
          <cell r="Q78">
            <v>0</v>
          </cell>
          <cell r="R78">
            <v>0</v>
          </cell>
        </row>
        <row r="79">
          <cell r="D79">
            <v>0</v>
          </cell>
          <cell r="F79">
            <v>0</v>
          </cell>
          <cell r="G79">
            <v>0</v>
          </cell>
          <cell r="I79">
            <v>0</v>
          </cell>
          <cell r="K79">
            <v>0</v>
          </cell>
          <cell r="L79">
            <v>0</v>
          </cell>
          <cell r="N79">
            <v>0</v>
          </cell>
          <cell r="O79">
            <v>0</v>
          </cell>
          <cell r="P79">
            <v>0</v>
          </cell>
          <cell r="Q79">
            <v>0</v>
          </cell>
          <cell r="R79">
            <v>0</v>
          </cell>
        </row>
        <row r="80">
          <cell r="D80">
            <v>0</v>
          </cell>
          <cell r="F80">
            <v>0</v>
          </cell>
          <cell r="G80">
            <v>0</v>
          </cell>
          <cell r="I80">
            <v>0</v>
          </cell>
          <cell r="K80">
            <v>0</v>
          </cell>
          <cell r="L80">
            <v>0</v>
          </cell>
          <cell r="N80">
            <v>0</v>
          </cell>
          <cell r="O80">
            <v>0</v>
          </cell>
          <cell r="P80">
            <v>0</v>
          </cell>
          <cell r="Q80">
            <v>0</v>
          </cell>
          <cell r="R80">
            <v>0</v>
          </cell>
        </row>
        <row r="81">
          <cell r="D81">
            <v>0</v>
          </cell>
          <cell r="F81">
            <v>0</v>
          </cell>
          <cell r="G81">
            <v>0</v>
          </cell>
          <cell r="I81">
            <v>0</v>
          </cell>
          <cell r="K81">
            <v>0</v>
          </cell>
          <cell r="L81">
            <v>0</v>
          </cell>
          <cell r="N81">
            <v>0</v>
          </cell>
          <cell r="O81">
            <v>0</v>
          </cell>
          <cell r="P81">
            <v>0</v>
          </cell>
          <cell r="Q81">
            <v>0</v>
          </cell>
          <cell r="R81">
            <v>0</v>
          </cell>
        </row>
        <row r="82">
          <cell r="D82">
            <v>0</v>
          </cell>
          <cell r="F82">
            <v>0</v>
          </cell>
          <cell r="G82">
            <v>0</v>
          </cell>
          <cell r="I82">
            <v>0</v>
          </cell>
          <cell r="K82">
            <v>0</v>
          </cell>
          <cell r="L82">
            <v>0</v>
          </cell>
          <cell r="N82">
            <v>0</v>
          </cell>
          <cell r="O82">
            <v>0</v>
          </cell>
          <cell r="P82">
            <v>0</v>
          </cell>
          <cell r="Q82">
            <v>0</v>
          </cell>
          <cell r="R82">
            <v>0</v>
          </cell>
        </row>
        <row r="83">
          <cell r="D83">
            <v>0</v>
          </cell>
          <cell r="F83">
            <v>0</v>
          </cell>
          <cell r="G83">
            <v>0</v>
          </cell>
          <cell r="I83">
            <v>0</v>
          </cell>
          <cell r="K83">
            <v>0</v>
          </cell>
          <cell r="L83">
            <v>0</v>
          </cell>
          <cell r="N83">
            <v>0</v>
          </cell>
          <cell r="O83">
            <v>0</v>
          </cell>
          <cell r="P83">
            <v>0</v>
          </cell>
          <cell r="Q83">
            <v>0</v>
          </cell>
          <cell r="R83">
            <v>0</v>
          </cell>
        </row>
        <row r="84">
          <cell r="D84">
            <v>0</v>
          </cell>
          <cell r="F84">
            <v>0</v>
          </cell>
          <cell r="G84">
            <v>0</v>
          </cell>
          <cell r="I84">
            <v>0</v>
          </cell>
          <cell r="K84">
            <v>0</v>
          </cell>
          <cell r="L84">
            <v>0</v>
          </cell>
          <cell r="N84">
            <v>0</v>
          </cell>
          <cell r="O84">
            <v>0</v>
          </cell>
          <cell r="P84">
            <v>0</v>
          </cell>
          <cell r="Q84">
            <v>0</v>
          </cell>
          <cell r="R84">
            <v>0</v>
          </cell>
        </row>
        <row r="85">
          <cell r="D85">
            <v>0</v>
          </cell>
          <cell r="F85">
            <v>0</v>
          </cell>
          <cell r="G85">
            <v>0</v>
          </cell>
          <cell r="I85">
            <v>0</v>
          </cell>
          <cell r="K85">
            <v>0</v>
          </cell>
          <cell r="L85">
            <v>0</v>
          </cell>
          <cell r="N85">
            <v>0</v>
          </cell>
          <cell r="O85">
            <v>0</v>
          </cell>
          <cell r="P85">
            <v>0</v>
          </cell>
          <cell r="Q85">
            <v>0</v>
          </cell>
          <cell r="R85">
            <v>0</v>
          </cell>
        </row>
        <row r="86">
          <cell r="D86">
            <v>0</v>
          </cell>
          <cell r="F86">
            <v>0</v>
          </cell>
          <cell r="G86">
            <v>0</v>
          </cell>
          <cell r="I86">
            <v>0</v>
          </cell>
          <cell r="K86">
            <v>0</v>
          </cell>
          <cell r="L86">
            <v>0</v>
          </cell>
          <cell r="N86">
            <v>0</v>
          </cell>
          <cell r="O86">
            <v>0</v>
          </cell>
          <cell r="P86">
            <v>0</v>
          </cell>
          <cell r="Q86">
            <v>0</v>
          </cell>
          <cell r="R86">
            <v>0</v>
          </cell>
        </row>
        <row r="87">
          <cell r="D87">
            <v>0</v>
          </cell>
          <cell r="F87">
            <v>0</v>
          </cell>
          <cell r="G87">
            <v>0</v>
          </cell>
          <cell r="I87">
            <v>0</v>
          </cell>
          <cell r="K87">
            <v>0</v>
          </cell>
          <cell r="L87">
            <v>0</v>
          </cell>
          <cell r="N87">
            <v>0</v>
          </cell>
          <cell r="O87">
            <v>0</v>
          </cell>
          <cell r="P87">
            <v>0</v>
          </cell>
          <cell r="Q87">
            <v>0</v>
          </cell>
          <cell r="R87">
            <v>0</v>
          </cell>
        </row>
        <row r="88">
          <cell r="D88">
            <v>0</v>
          </cell>
          <cell r="F88">
            <v>0</v>
          </cell>
          <cell r="G88">
            <v>0</v>
          </cell>
          <cell r="I88">
            <v>0</v>
          </cell>
          <cell r="K88">
            <v>0</v>
          </cell>
          <cell r="L88">
            <v>0</v>
          </cell>
          <cell r="N88">
            <v>0</v>
          </cell>
          <cell r="O88">
            <v>0</v>
          </cell>
          <cell r="P88">
            <v>0</v>
          </cell>
          <cell r="Q88">
            <v>0</v>
          </cell>
          <cell r="R88">
            <v>0</v>
          </cell>
        </row>
        <row r="89">
          <cell r="D89">
            <v>0</v>
          </cell>
          <cell r="F89">
            <v>0</v>
          </cell>
          <cell r="G89">
            <v>0</v>
          </cell>
          <cell r="I89">
            <v>0</v>
          </cell>
          <cell r="K89">
            <v>0</v>
          </cell>
          <cell r="L89">
            <v>0</v>
          </cell>
          <cell r="N89">
            <v>0</v>
          </cell>
          <cell r="O89">
            <v>0</v>
          </cell>
          <cell r="P89">
            <v>0</v>
          </cell>
          <cell r="Q89">
            <v>0</v>
          </cell>
          <cell r="R89">
            <v>0</v>
          </cell>
        </row>
        <row r="90">
          <cell r="D90">
            <v>0</v>
          </cell>
          <cell r="F90">
            <v>0</v>
          </cell>
          <cell r="G90">
            <v>0</v>
          </cell>
          <cell r="I90">
            <v>0</v>
          </cell>
          <cell r="K90">
            <v>0</v>
          </cell>
          <cell r="L90">
            <v>0</v>
          </cell>
          <cell r="N90">
            <v>0</v>
          </cell>
          <cell r="O90">
            <v>0</v>
          </cell>
          <cell r="P90">
            <v>0</v>
          </cell>
          <cell r="Q90">
            <v>0</v>
          </cell>
          <cell r="R90">
            <v>0</v>
          </cell>
        </row>
        <row r="91">
          <cell r="D91">
            <v>0</v>
          </cell>
          <cell r="F91">
            <v>0</v>
          </cell>
          <cell r="G91">
            <v>0</v>
          </cell>
          <cell r="I91">
            <v>0</v>
          </cell>
          <cell r="K91">
            <v>0</v>
          </cell>
          <cell r="L91">
            <v>0</v>
          </cell>
          <cell r="N91">
            <v>0</v>
          </cell>
          <cell r="O91">
            <v>0</v>
          </cell>
          <cell r="P91">
            <v>0</v>
          </cell>
          <cell r="Q91">
            <v>0</v>
          </cell>
          <cell r="R91">
            <v>0</v>
          </cell>
        </row>
        <row r="92">
          <cell r="D92">
            <v>0</v>
          </cell>
          <cell r="F92">
            <v>0</v>
          </cell>
          <cell r="G92">
            <v>0</v>
          </cell>
          <cell r="I92">
            <v>0</v>
          </cell>
          <cell r="K92">
            <v>0</v>
          </cell>
          <cell r="L92">
            <v>0</v>
          </cell>
          <cell r="N92">
            <v>0</v>
          </cell>
          <cell r="O92">
            <v>0</v>
          </cell>
          <cell r="P92">
            <v>0</v>
          </cell>
          <cell r="Q92">
            <v>0</v>
          </cell>
          <cell r="R92">
            <v>0</v>
          </cell>
        </row>
        <row r="93">
          <cell r="D93">
            <v>0</v>
          </cell>
          <cell r="F93">
            <v>0</v>
          </cell>
          <cell r="G93">
            <v>0</v>
          </cell>
          <cell r="I93">
            <v>0</v>
          </cell>
          <cell r="K93">
            <v>0</v>
          </cell>
          <cell r="L93">
            <v>0</v>
          </cell>
          <cell r="N93">
            <v>0</v>
          </cell>
          <cell r="O93">
            <v>0</v>
          </cell>
          <cell r="P93">
            <v>0</v>
          </cell>
          <cell r="Q93">
            <v>0</v>
          </cell>
          <cell r="R93">
            <v>0</v>
          </cell>
        </row>
        <row r="94">
          <cell r="D94">
            <v>0</v>
          </cell>
          <cell r="F94">
            <v>0</v>
          </cell>
          <cell r="G94">
            <v>0</v>
          </cell>
          <cell r="I94">
            <v>0</v>
          </cell>
          <cell r="K94">
            <v>0</v>
          </cell>
          <cell r="L94">
            <v>0</v>
          </cell>
          <cell r="N94">
            <v>0</v>
          </cell>
          <cell r="O94">
            <v>0</v>
          </cell>
          <cell r="P94">
            <v>0</v>
          </cell>
          <cell r="Q94">
            <v>0</v>
          </cell>
          <cell r="R94">
            <v>0</v>
          </cell>
        </row>
        <row r="95">
          <cell r="D95">
            <v>0</v>
          </cell>
          <cell r="F95">
            <v>0</v>
          </cell>
          <cell r="G95">
            <v>0</v>
          </cell>
          <cell r="I95">
            <v>0</v>
          </cell>
          <cell r="K95">
            <v>0</v>
          </cell>
          <cell r="L95">
            <v>0</v>
          </cell>
          <cell r="N95">
            <v>0</v>
          </cell>
          <cell r="O95">
            <v>0</v>
          </cell>
          <cell r="P95">
            <v>0</v>
          </cell>
          <cell r="Q95">
            <v>0</v>
          </cell>
          <cell r="R95">
            <v>0</v>
          </cell>
        </row>
        <row r="96">
          <cell r="D96">
            <v>0</v>
          </cell>
          <cell r="F96">
            <v>0</v>
          </cell>
          <cell r="G96">
            <v>0</v>
          </cell>
          <cell r="I96">
            <v>0</v>
          </cell>
          <cell r="K96">
            <v>0</v>
          </cell>
          <cell r="L96">
            <v>0</v>
          </cell>
          <cell r="N96">
            <v>0</v>
          </cell>
          <cell r="O96">
            <v>0</v>
          </cell>
          <cell r="P96">
            <v>0</v>
          </cell>
          <cell r="Q96">
            <v>0</v>
          </cell>
          <cell r="R96">
            <v>0</v>
          </cell>
        </row>
        <row r="97">
          <cell r="D97">
            <v>0</v>
          </cell>
          <cell r="F97">
            <v>0</v>
          </cell>
          <cell r="G97">
            <v>0</v>
          </cell>
          <cell r="I97">
            <v>0</v>
          </cell>
          <cell r="K97">
            <v>0</v>
          </cell>
          <cell r="L97">
            <v>0</v>
          </cell>
          <cell r="N97">
            <v>0</v>
          </cell>
          <cell r="O97">
            <v>0</v>
          </cell>
          <cell r="P97">
            <v>0</v>
          </cell>
          <cell r="Q97">
            <v>0</v>
          </cell>
          <cell r="R97">
            <v>0</v>
          </cell>
        </row>
        <row r="98">
          <cell r="D98">
            <v>0</v>
          </cell>
          <cell r="F98">
            <v>0</v>
          </cell>
          <cell r="G98">
            <v>0</v>
          </cell>
          <cell r="I98">
            <v>0</v>
          </cell>
          <cell r="K98">
            <v>0</v>
          </cell>
          <cell r="L98">
            <v>0</v>
          </cell>
          <cell r="N98">
            <v>0</v>
          </cell>
          <cell r="O98">
            <v>0</v>
          </cell>
          <cell r="P98">
            <v>0</v>
          </cell>
          <cell r="Q98">
            <v>0</v>
          </cell>
          <cell r="R98">
            <v>0</v>
          </cell>
        </row>
        <row r="99">
          <cell r="D99">
            <v>0</v>
          </cell>
          <cell r="F99">
            <v>0</v>
          </cell>
          <cell r="G99">
            <v>0</v>
          </cell>
          <cell r="I99">
            <v>0</v>
          </cell>
          <cell r="K99">
            <v>0</v>
          </cell>
          <cell r="L99">
            <v>0</v>
          </cell>
          <cell r="N99">
            <v>0</v>
          </cell>
          <cell r="O99">
            <v>0</v>
          </cell>
          <cell r="P99">
            <v>0</v>
          </cell>
          <cell r="Q99">
            <v>0</v>
          </cell>
          <cell r="R99">
            <v>0</v>
          </cell>
        </row>
        <row r="100">
          <cell r="D100">
            <v>0</v>
          </cell>
          <cell r="F100">
            <v>0</v>
          </cell>
          <cell r="G100">
            <v>0</v>
          </cell>
          <cell r="I100">
            <v>0</v>
          </cell>
          <cell r="K100">
            <v>0</v>
          </cell>
          <cell r="L100">
            <v>0</v>
          </cell>
          <cell r="N100">
            <v>0</v>
          </cell>
          <cell r="O100">
            <v>0</v>
          </cell>
          <cell r="P100">
            <v>0</v>
          </cell>
          <cell r="Q100">
            <v>0</v>
          </cell>
          <cell r="R100">
            <v>0</v>
          </cell>
        </row>
        <row r="101">
          <cell r="D101">
            <v>0</v>
          </cell>
          <cell r="F101">
            <v>0</v>
          </cell>
          <cell r="G101">
            <v>0</v>
          </cell>
          <cell r="I101">
            <v>0</v>
          </cell>
          <cell r="K101">
            <v>0</v>
          </cell>
          <cell r="L101">
            <v>0</v>
          </cell>
          <cell r="N101">
            <v>0</v>
          </cell>
          <cell r="O101">
            <v>0</v>
          </cell>
          <cell r="P101">
            <v>0</v>
          </cell>
          <cell r="Q101">
            <v>0</v>
          </cell>
          <cell r="R101">
            <v>0</v>
          </cell>
        </row>
        <row r="102">
          <cell r="D102">
            <v>0</v>
          </cell>
          <cell r="F102">
            <v>0</v>
          </cell>
          <cell r="G102">
            <v>0</v>
          </cell>
          <cell r="I102">
            <v>0</v>
          </cell>
          <cell r="K102">
            <v>0</v>
          </cell>
          <cell r="L102">
            <v>0</v>
          </cell>
          <cell r="N102">
            <v>0</v>
          </cell>
          <cell r="O102">
            <v>0</v>
          </cell>
          <cell r="P102">
            <v>0</v>
          </cell>
          <cell r="Q102">
            <v>0</v>
          </cell>
          <cell r="R102">
            <v>0</v>
          </cell>
        </row>
        <row r="103">
          <cell r="D103">
            <v>0</v>
          </cell>
          <cell r="F103">
            <v>0</v>
          </cell>
          <cell r="G103">
            <v>0</v>
          </cell>
          <cell r="I103">
            <v>0</v>
          </cell>
          <cell r="K103">
            <v>0</v>
          </cell>
          <cell r="L103">
            <v>0</v>
          </cell>
          <cell r="N103">
            <v>0</v>
          </cell>
          <cell r="O103">
            <v>0</v>
          </cell>
          <cell r="P103">
            <v>0</v>
          </cell>
          <cell r="Q103">
            <v>0</v>
          </cell>
          <cell r="R103">
            <v>0</v>
          </cell>
        </row>
        <row r="104">
          <cell r="D104">
            <v>0</v>
          </cell>
          <cell r="F104">
            <v>0</v>
          </cell>
          <cell r="G104">
            <v>0</v>
          </cell>
          <cell r="I104">
            <v>0</v>
          </cell>
          <cell r="K104">
            <v>0</v>
          </cell>
          <cell r="L104">
            <v>0</v>
          </cell>
          <cell r="N104">
            <v>0</v>
          </cell>
          <cell r="O104">
            <v>0</v>
          </cell>
          <cell r="P104">
            <v>0</v>
          </cell>
          <cell r="Q104">
            <v>0</v>
          </cell>
          <cell r="R104">
            <v>0</v>
          </cell>
        </row>
        <row r="105">
          <cell r="D105">
            <v>0</v>
          </cell>
          <cell r="F105">
            <v>0</v>
          </cell>
          <cell r="G105">
            <v>0</v>
          </cell>
          <cell r="I105">
            <v>0</v>
          </cell>
          <cell r="K105">
            <v>0</v>
          </cell>
          <cell r="L105">
            <v>0</v>
          </cell>
          <cell r="N105">
            <v>0</v>
          </cell>
          <cell r="O105">
            <v>0</v>
          </cell>
          <cell r="P105">
            <v>0</v>
          </cell>
          <cell r="Q105">
            <v>0</v>
          </cell>
          <cell r="R105">
            <v>0</v>
          </cell>
        </row>
        <row r="106">
          <cell r="D106">
            <v>0</v>
          </cell>
          <cell r="F106">
            <v>0</v>
          </cell>
          <cell r="G106">
            <v>0</v>
          </cell>
          <cell r="I106">
            <v>0</v>
          </cell>
          <cell r="K106">
            <v>0</v>
          </cell>
          <cell r="L106">
            <v>0</v>
          </cell>
          <cell r="N106">
            <v>0</v>
          </cell>
          <cell r="O106">
            <v>0</v>
          </cell>
          <cell r="P106">
            <v>0</v>
          </cell>
          <cell r="Q106">
            <v>0</v>
          </cell>
          <cell r="R106">
            <v>0</v>
          </cell>
        </row>
        <row r="107">
          <cell r="D107">
            <v>0</v>
          </cell>
          <cell r="F107">
            <v>0</v>
          </cell>
          <cell r="G107">
            <v>0</v>
          </cell>
          <cell r="I107">
            <v>0</v>
          </cell>
          <cell r="K107">
            <v>0</v>
          </cell>
          <cell r="L107">
            <v>0</v>
          </cell>
          <cell r="N107">
            <v>0</v>
          </cell>
          <cell r="O107">
            <v>0</v>
          </cell>
          <cell r="P107">
            <v>0</v>
          </cell>
          <cell r="Q107">
            <v>0</v>
          </cell>
          <cell r="R107">
            <v>0</v>
          </cell>
        </row>
        <row r="108">
          <cell r="D108">
            <v>0</v>
          </cell>
          <cell r="F108">
            <v>0</v>
          </cell>
          <cell r="G108">
            <v>0</v>
          </cell>
          <cell r="I108">
            <v>0</v>
          </cell>
          <cell r="K108">
            <v>0</v>
          </cell>
          <cell r="L108">
            <v>0</v>
          </cell>
          <cell r="N108">
            <v>0</v>
          </cell>
          <cell r="O108">
            <v>0</v>
          </cell>
          <cell r="P108">
            <v>0</v>
          </cell>
          <cell r="Q108">
            <v>0</v>
          </cell>
          <cell r="R108">
            <v>0</v>
          </cell>
        </row>
        <row r="109">
          <cell r="D109">
            <v>0</v>
          </cell>
          <cell r="F109">
            <v>0</v>
          </cell>
          <cell r="G109">
            <v>0</v>
          </cell>
          <cell r="I109">
            <v>0</v>
          </cell>
          <cell r="K109">
            <v>0</v>
          </cell>
          <cell r="L109">
            <v>0</v>
          </cell>
          <cell r="N109">
            <v>0</v>
          </cell>
          <cell r="O109">
            <v>0</v>
          </cell>
          <cell r="P109">
            <v>0</v>
          </cell>
          <cell r="Q109">
            <v>0</v>
          </cell>
          <cell r="R109">
            <v>0</v>
          </cell>
        </row>
        <row r="110">
          <cell r="D110">
            <v>0</v>
          </cell>
          <cell r="F110">
            <v>0</v>
          </cell>
          <cell r="G110">
            <v>0</v>
          </cell>
          <cell r="I110">
            <v>0</v>
          </cell>
          <cell r="K110">
            <v>0</v>
          </cell>
          <cell r="L110">
            <v>0</v>
          </cell>
          <cell r="N110">
            <v>0</v>
          </cell>
          <cell r="O110">
            <v>0</v>
          </cell>
          <cell r="P110">
            <v>0</v>
          </cell>
          <cell r="Q110">
            <v>0</v>
          </cell>
          <cell r="R110">
            <v>0</v>
          </cell>
        </row>
        <row r="111">
          <cell r="D111">
            <v>0</v>
          </cell>
          <cell r="F111">
            <v>0</v>
          </cell>
          <cell r="G111">
            <v>0</v>
          </cell>
          <cell r="I111">
            <v>0</v>
          </cell>
          <cell r="K111">
            <v>0</v>
          </cell>
          <cell r="L111">
            <v>0</v>
          </cell>
          <cell r="N111">
            <v>0</v>
          </cell>
          <cell r="O111">
            <v>0</v>
          </cell>
          <cell r="P111">
            <v>0</v>
          </cell>
          <cell r="Q111">
            <v>0</v>
          </cell>
          <cell r="R111">
            <v>0</v>
          </cell>
        </row>
        <row r="112">
          <cell r="D112">
            <v>0</v>
          </cell>
          <cell r="F112">
            <v>0</v>
          </cell>
          <cell r="G112">
            <v>0</v>
          </cell>
          <cell r="I112">
            <v>0</v>
          </cell>
          <cell r="K112">
            <v>0</v>
          </cell>
          <cell r="L112">
            <v>0</v>
          </cell>
          <cell r="N112">
            <v>0</v>
          </cell>
          <cell r="O112">
            <v>0</v>
          </cell>
          <cell r="P112">
            <v>0</v>
          </cell>
          <cell r="Q112">
            <v>0</v>
          </cell>
          <cell r="R112">
            <v>0</v>
          </cell>
        </row>
        <row r="113">
          <cell r="D113">
            <v>0</v>
          </cell>
          <cell r="F113">
            <v>0</v>
          </cell>
          <cell r="G113">
            <v>0</v>
          </cell>
          <cell r="I113">
            <v>0</v>
          </cell>
          <cell r="K113">
            <v>0</v>
          </cell>
          <cell r="L113">
            <v>0</v>
          </cell>
          <cell r="N113">
            <v>0</v>
          </cell>
          <cell r="O113">
            <v>0</v>
          </cell>
          <cell r="P113">
            <v>0</v>
          </cell>
          <cell r="Q113">
            <v>0</v>
          </cell>
          <cell r="R113">
            <v>0</v>
          </cell>
        </row>
        <row r="114">
          <cell r="D114">
            <v>0</v>
          </cell>
          <cell r="F114">
            <v>0</v>
          </cell>
          <cell r="G114">
            <v>0</v>
          </cell>
          <cell r="I114">
            <v>0</v>
          </cell>
          <cell r="K114">
            <v>0</v>
          </cell>
          <cell r="L114">
            <v>0</v>
          </cell>
          <cell r="N114">
            <v>0</v>
          </cell>
          <cell r="O114">
            <v>0</v>
          </cell>
          <cell r="P114">
            <v>0</v>
          </cell>
          <cell r="Q114">
            <v>0</v>
          </cell>
          <cell r="R114">
            <v>0</v>
          </cell>
        </row>
        <row r="115">
          <cell r="D115">
            <v>0</v>
          </cell>
          <cell r="F115">
            <v>0</v>
          </cell>
          <cell r="G115">
            <v>0</v>
          </cell>
          <cell r="I115">
            <v>0</v>
          </cell>
          <cell r="K115">
            <v>0</v>
          </cell>
          <cell r="L115">
            <v>0</v>
          </cell>
          <cell r="N115">
            <v>0</v>
          </cell>
          <cell r="O115">
            <v>0</v>
          </cell>
          <cell r="P115">
            <v>0</v>
          </cell>
          <cell r="Q115">
            <v>0</v>
          </cell>
          <cell r="R115">
            <v>0</v>
          </cell>
        </row>
        <row r="116">
          <cell r="D116">
            <v>0</v>
          </cell>
          <cell r="F116">
            <v>0</v>
          </cell>
          <cell r="G116">
            <v>0</v>
          </cell>
          <cell r="I116">
            <v>0</v>
          </cell>
          <cell r="K116">
            <v>0</v>
          </cell>
          <cell r="L116">
            <v>0</v>
          </cell>
          <cell r="N116">
            <v>0</v>
          </cell>
          <cell r="O116">
            <v>0</v>
          </cell>
          <cell r="P116">
            <v>0</v>
          </cell>
          <cell r="Q116">
            <v>0</v>
          </cell>
          <cell r="R116">
            <v>0</v>
          </cell>
        </row>
        <row r="117">
          <cell r="D117">
            <v>0</v>
          </cell>
          <cell r="F117">
            <v>0</v>
          </cell>
          <cell r="G117">
            <v>0</v>
          </cell>
          <cell r="I117">
            <v>0</v>
          </cell>
          <cell r="K117">
            <v>0</v>
          </cell>
          <cell r="L117">
            <v>0</v>
          </cell>
          <cell r="N117">
            <v>0</v>
          </cell>
          <cell r="O117">
            <v>0</v>
          </cell>
          <cell r="P117">
            <v>0</v>
          </cell>
          <cell r="Q117">
            <v>0</v>
          </cell>
          <cell r="R117">
            <v>0</v>
          </cell>
        </row>
        <row r="118">
          <cell r="D118">
            <v>0</v>
          </cell>
          <cell r="F118">
            <v>0</v>
          </cell>
          <cell r="G118">
            <v>0</v>
          </cell>
          <cell r="I118">
            <v>0</v>
          </cell>
          <cell r="K118">
            <v>0</v>
          </cell>
          <cell r="L118">
            <v>0</v>
          </cell>
          <cell r="N118">
            <v>0</v>
          </cell>
          <cell r="O118">
            <v>0</v>
          </cell>
          <cell r="P118">
            <v>0</v>
          </cell>
          <cell r="Q118">
            <v>0</v>
          </cell>
          <cell r="R118">
            <v>0</v>
          </cell>
        </row>
        <row r="119">
          <cell r="D119">
            <v>0</v>
          </cell>
          <cell r="F119">
            <v>0</v>
          </cell>
          <cell r="G119">
            <v>0</v>
          </cell>
          <cell r="I119">
            <v>0</v>
          </cell>
          <cell r="K119">
            <v>0</v>
          </cell>
          <cell r="L119">
            <v>0</v>
          </cell>
          <cell r="N119">
            <v>0</v>
          </cell>
          <cell r="O119">
            <v>0</v>
          </cell>
          <cell r="P119">
            <v>0</v>
          </cell>
          <cell r="Q119">
            <v>0</v>
          </cell>
          <cell r="R119">
            <v>0</v>
          </cell>
        </row>
        <row r="120">
          <cell r="D120">
            <v>0</v>
          </cell>
          <cell r="F120">
            <v>0</v>
          </cell>
          <cell r="G120">
            <v>0</v>
          </cell>
          <cell r="I120">
            <v>0</v>
          </cell>
          <cell r="K120">
            <v>0</v>
          </cell>
          <cell r="L120">
            <v>0</v>
          </cell>
          <cell r="N120">
            <v>0</v>
          </cell>
          <cell r="O120">
            <v>0</v>
          </cell>
          <cell r="P120">
            <v>0</v>
          </cell>
          <cell r="Q120">
            <v>0</v>
          </cell>
          <cell r="R120">
            <v>0</v>
          </cell>
        </row>
        <row r="121">
          <cell r="D121">
            <v>0</v>
          </cell>
          <cell r="F121">
            <v>0</v>
          </cell>
          <cell r="G121">
            <v>0</v>
          </cell>
          <cell r="I121">
            <v>0</v>
          </cell>
          <cell r="K121">
            <v>0</v>
          </cell>
          <cell r="L121">
            <v>0</v>
          </cell>
          <cell r="N121">
            <v>0</v>
          </cell>
          <cell r="O121">
            <v>0</v>
          </cell>
          <cell r="P121">
            <v>0</v>
          </cell>
          <cell r="Q121">
            <v>0</v>
          </cell>
          <cell r="R121">
            <v>0</v>
          </cell>
        </row>
        <row r="122">
          <cell r="D122">
            <v>0</v>
          </cell>
          <cell r="F122">
            <v>0</v>
          </cell>
          <cell r="G122">
            <v>0</v>
          </cell>
          <cell r="I122">
            <v>0</v>
          </cell>
          <cell r="K122">
            <v>0</v>
          </cell>
          <cell r="L122">
            <v>0</v>
          </cell>
          <cell r="N122">
            <v>0</v>
          </cell>
          <cell r="O122">
            <v>0</v>
          </cell>
          <cell r="P122">
            <v>0</v>
          </cell>
          <cell r="Q122">
            <v>0</v>
          </cell>
          <cell r="R122">
            <v>0</v>
          </cell>
        </row>
        <row r="123">
          <cell r="D123">
            <v>0</v>
          </cell>
          <cell r="F123">
            <v>0</v>
          </cell>
          <cell r="G123">
            <v>0</v>
          </cell>
          <cell r="I123">
            <v>0</v>
          </cell>
          <cell r="K123">
            <v>0</v>
          </cell>
          <cell r="L123">
            <v>0</v>
          </cell>
          <cell r="N123">
            <v>0</v>
          </cell>
          <cell r="O123">
            <v>0</v>
          </cell>
          <cell r="P123">
            <v>0</v>
          </cell>
          <cell r="Q123">
            <v>0</v>
          </cell>
          <cell r="R123">
            <v>0</v>
          </cell>
        </row>
        <row r="124">
          <cell r="D124">
            <v>0</v>
          </cell>
          <cell r="F124">
            <v>0</v>
          </cell>
          <cell r="G124">
            <v>0</v>
          </cell>
          <cell r="I124">
            <v>0</v>
          </cell>
          <cell r="K124">
            <v>0</v>
          </cell>
          <cell r="L124">
            <v>0</v>
          </cell>
          <cell r="N124">
            <v>0</v>
          </cell>
          <cell r="O124">
            <v>0</v>
          </cell>
          <cell r="P124">
            <v>0</v>
          </cell>
          <cell r="Q124">
            <v>0</v>
          </cell>
        </row>
        <row r="125">
          <cell r="D125">
            <v>0</v>
          </cell>
          <cell r="F125">
            <v>0</v>
          </cell>
          <cell r="G125">
            <v>0</v>
          </cell>
          <cell r="I125">
            <v>0</v>
          </cell>
          <cell r="K125">
            <v>0</v>
          </cell>
          <cell r="L125">
            <v>0</v>
          </cell>
          <cell r="N125">
            <v>0</v>
          </cell>
          <cell r="O125">
            <v>0</v>
          </cell>
          <cell r="P125">
            <v>0</v>
          </cell>
          <cell r="Q125">
            <v>0</v>
          </cell>
        </row>
        <row r="126">
          <cell r="D126">
            <v>0</v>
          </cell>
          <cell r="F126">
            <v>0</v>
          </cell>
          <cell r="G126">
            <v>0</v>
          </cell>
          <cell r="I126">
            <v>0</v>
          </cell>
          <cell r="K126">
            <v>0</v>
          </cell>
          <cell r="L126">
            <v>0</v>
          </cell>
          <cell r="N126">
            <v>0</v>
          </cell>
          <cell r="O126">
            <v>0</v>
          </cell>
          <cell r="P126">
            <v>0</v>
          </cell>
          <cell r="Q126">
            <v>0</v>
          </cell>
        </row>
        <row r="127">
          <cell r="D127">
            <v>0</v>
          </cell>
          <cell r="F127">
            <v>0</v>
          </cell>
          <cell r="G127">
            <v>0</v>
          </cell>
          <cell r="I127">
            <v>0</v>
          </cell>
          <cell r="K127">
            <v>0</v>
          </cell>
          <cell r="L127">
            <v>0</v>
          </cell>
          <cell r="N127">
            <v>0</v>
          </cell>
          <cell r="O127">
            <v>0</v>
          </cell>
          <cell r="P127">
            <v>0</v>
          </cell>
          <cell r="Q127">
            <v>0</v>
          </cell>
        </row>
        <row r="128">
          <cell r="D128">
            <v>0</v>
          </cell>
          <cell r="F128">
            <v>0</v>
          </cell>
          <cell r="G128">
            <v>0</v>
          </cell>
          <cell r="I128">
            <v>0</v>
          </cell>
          <cell r="K128">
            <v>0</v>
          </cell>
          <cell r="L128">
            <v>0</v>
          </cell>
          <cell r="N128">
            <v>0</v>
          </cell>
          <cell r="O128">
            <v>0</v>
          </cell>
          <cell r="P128">
            <v>0</v>
          </cell>
          <cell r="Q128">
            <v>0</v>
          </cell>
        </row>
        <row r="129">
          <cell r="D129">
            <v>0</v>
          </cell>
          <cell r="F129">
            <v>0</v>
          </cell>
          <cell r="G129">
            <v>0</v>
          </cell>
          <cell r="I129">
            <v>0</v>
          </cell>
          <cell r="K129">
            <v>0</v>
          </cell>
          <cell r="L129">
            <v>0</v>
          </cell>
          <cell r="N129">
            <v>0</v>
          </cell>
          <cell r="O129">
            <v>0</v>
          </cell>
          <cell r="P129">
            <v>0</v>
          </cell>
          <cell r="Q129">
            <v>0</v>
          </cell>
        </row>
        <row r="130">
          <cell r="D130">
            <v>0</v>
          </cell>
          <cell r="F130">
            <v>0</v>
          </cell>
          <cell r="G130">
            <v>0</v>
          </cell>
          <cell r="I130">
            <v>0</v>
          </cell>
          <cell r="K130">
            <v>0</v>
          </cell>
          <cell r="L130">
            <v>0</v>
          </cell>
          <cell r="N130">
            <v>0</v>
          </cell>
          <cell r="O130">
            <v>0</v>
          </cell>
          <cell r="P130">
            <v>0</v>
          </cell>
          <cell r="Q130">
            <v>0</v>
          </cell>
        </row>
        <row r="131">
          <cell r="D131">
            <v>0</v>
          </cell>
          <cell r="F131">
            <v>0</v>
          </cell>
          <cell r="G131">
            <v>0</v>
          </cell>
          <cell r="I131">
            <v>0</v>
          </cell>
          <cell r="K131">
            <v>0</v>
          </cell>
          <cell r="L131">
            <v>0</v>
          </cell>
          <cell r="N131">
            <v>0</v>
          </cell>
          <cell r="O131">
            <v>0</v>
          </cell>
          <cell r="P131">
            <v>0</v>
          </cell>
          <cell r="Q131">
            <v>0</v>
          </cell>
        </row>
        <row r="132">
          <cell r="D132">
            <v>0</v>
          </cell>
          <cell r="F132">
            <v>0</v>
          </cell>
          <cell r="G132">
            <v>0</v>
          </cell>
          <cell r="I132">
            <v>0</v>
          </cell>
          <cell r="K132">
            <v>0</v>
          </cell>
          <cell r="L132">
            <v>0</v>
          </cell>
          <cell r="N132">
            <v>0</v>
          </cell>
          <cell r="O132">
            <v>0</v>
          </cell>
          <cell r="P132">
            <v>0</v>
          </cell>
          <cell r="Q132">
            <v>0</v>
          </cell>
        </row>
        <row r="133">
          <cell r="D133">
            <v>0</v>
          </cell>
          <cell r="F133">
            <v>0</v>
          </cell>
          <cell r="G133">
            <v>0</v>
          </cell>
          <cell r="I133">
            <v>0</v>
          </cell>
          <cell r="K133">
            <v>0</v>
          </cell>
          <cell r="L133">
            <v>0</v>
          </cell>
          <cell r="N133">
            <v>0</v>
          </cell>
          <cell r="O133">
            <v>0</v>
          </cell>
          <cell r="P133">
            <v>0</v>
          </cell>
          <cell r="Q133">
            <v>0</v>
          </cell>
        </row>
        <row r="134">
          <cell r="D134">
            <v>0</v>
          </cell>
          <cell r="F134">
            <v>0</v>
          </cell>
          <cell r="G134">
            <v>0</v>
          </cell>
          <cell r="I134">
            <v>0</v>
          </cell>
          <cell r="K134">
            <v>0</v>
          </cell>
          <cell r="L134">
            <v>0</v>
          </cell>
          <cell r="N134">
            <v>0</v>
          </cell>
          <cell r="O134">
            <v>0</v>
          </cell>
          <cell r="P134">
            <v>0</v>
          </cell>
          <cell r="Q134">
            <v>0</v>
          </cell>
        </row>
        <row r="135">
          <cell r="D135">
            <v>0</v>
          </cell>
          <cell r="F135">
            <v>0</v>
          </cell>
          <cell r="G135">
            <v>0</v>
          </cell>
          <cell r="I135">
            <v>0</v>
          </cell>
          <cell r="K135">
            <v>0</v>
          </cell>
          <cell r="L135">
            <v>0</v>
          </cell>
          <cell r="N135">
            <v>0</v>
          </cell>
          <cell r="O135">
            <v>0</v>
          </cell>
          <cell r="P135">
            <v>0</v>
          </cell>
          <cell r="Q135">
            <v>0</v>
          </cell>
        </row>
        <row r="136">
          <cell r="D136">
            <v>0</v>
          </cell>
          <cell r="F136">
            <v>0</v>
          </cell>
          <cell r="G136">
            <v>0</v>
          </cell>
          <cell r="I136">
            <v>0</v>
          </cell>
          <cell r="K136">
            <v>0</v>
          </cell>
          <cell r="L136">
            <v>0</v>
          </cell>
          <cell r="N136">
            <v>0</v>
          </cell>
          <cell r="O136">
            <v>0</v>
          </cell>
          <cell r="P136">
            <v>0</v>
          </cell>
          <cell r="Q136">
            <v>0</v>
          </cell>
        </row>
        <row r="137">
          <cell r="D137">
            <v>0</v>
          </cell>
          <cell r="F137">
            <v>0</v>
          </cell>
          <cell r="G137">
            <v>0</v>
          </cell>
          <cell r="I137">
            <v>0</v>
          </cell>
          <cell r="K137">
            <v>0</v>
          </cell>
          <cell r="L137">
            <v>0</v>
          </cell>
          <cell r="N137">
            <v>0</v>
          </cell>
          <cell r="O137">
            <v>0</v>
          </cell>
          <cell r="P137">
            <v>0</v>
          </cell>
          <cell r="Q137">
            <v>0</v>
          </cell>
        </row>
        <row r="138">
          <cell r="D138">
            <v>0</v>
          </cell>
          <cell r="F138">
            <v>0</v>
          </cell>
          <cell r="G138">
            <v>0</v>
          </cell>
          <cell r="I138">
            <v>0</v>
          </cell>
          <cell r="K138">
            <v>0</v>
          </cell>
          <cell r="L138">
            <v>0</v>
          </cell>
          <cell r="N138">
            <v>0</v>
          </cell>
          <cell r="O138">
            <v>0</v>
          </cell>
          <cell r="P138">
            <v>0</v>
          </cell>
          <cell r="Q138">
            <v>0</v>
          </cell>
        </row>
        <row r="139">
          <cell r="D139">
            <v>0</v>
          </cell>
          <cell r="F139">
            <v>0</v>
          </cell>
          <cell r="G139">
            <v>0</v>
          </cell>
          <cell r="I139">
            <v>0</v>
          </cell>
          <cell r="K139">
            <v>0</v>
          </cell>
          <cell r="L139">
            <v>0</v>
          </cell>
          <cell r="N139">
            <v>0</v>
          </cell>
          <cell r="O139">
            <v>0</v>
          </cell>
          <cell r="P139">
            <v>0</v>
          </cell>
          <cell r="Q139">
            <v>0</v>
          </cell>
        </row>
        <row r="140">
          <cell r="D140">
            <v>0</v>
          </cell>
          <cell r="F140">
            <v>0</v>
          </cell>
          <cell r="G140">
            <v>0</v>
          </cell>
          <cell r="I140">
            <v>0</v>
          </cell>
          <cell r="K140">
            <v>0</v>
          </cell>
          <cell r="L140">
            <v>0</v>
          </cell>
          <cell r="N140">
            <v>0</v>
          </cell>
          <cell r="O140">
            <v>0</v>
          </cell>
          <cell r="P140">
            <v>0</v>
          </cell>
          <cell r="Q140">
            <v>0</v>
          </cell>
        </row>
        <row r="141">
          <cell r="D141">
            <v>0</v>
          </cell>
          <cell r="F141">
            <v>0</v>
          </cell>
          <cell r="G141">
            <v>0</v>
          </cell>
          <cell r="I141">
            <v>0</v>
          </cell>
          <cell r="K141">
            <v>0</v>
          </cell>
          <cell r="L141">
            <v>0</v>
          </cell>
          <cell r="N141">
            <v>0</v>
          </cell>
          <cell r="O141">
            <v>0</v>
          </cell>
          <cell r="P141">
            <v>0</v>
          </cell>
          <cell r="Q141">
            <v>0</v>
          </cell>
        </row>
        <row r="142">
          <cell r="D142">
            <v>0</v>
          </cell>
          <cell r="F142">
            <v>0</v>
          </cell>
          <cell r="G142">
            <v>0</v>
          </cell>
          <cell r="I142">
            <v>0</v>
          </cell>
          <cell r="K142">
            <v>0</v>
          </cell>
          <cell r="L142">
            <v>0</v>
          </cell>
          <cell r="N142">
            <v>0</v>
          </cell>
          <cell r="O142">
            <v>0</v>
          </cell>
          <cell r="P142">
            <v>0</v>
          </cell>
          <cell r="Q142">
            <v>0</v>
          </cell>
        </row>
        <row r="143">
          <cell r="D143">
            <v>0</v>
          </cell>
          <cell r="F143">
            <v>0</v>
          </cell>
          <cell r="G143">
            <v>0</v>
          </cell>
          <cell r="I143">
            <v>0</v>
          </cell>
          <cell r="K143">
            <v>0</v>
          </cell>
          <cell r="L143">
            <v>0</v>
          </cell>
          <cell r="N143">
            <v>0</v>
          </cell>
          <cell r="O143">
            <v>0</v>
          </cell>
          <cell r="P143">
            <v>0</v>
          </cell>
          <cell r="Q143">
            <v>0</v>
          </cell>
        </row>
        <row r="144">
          <cell r="D144">
            <v>0</v>
          </cell>
          <cell r="F144">
            <v>0</v>
          </cell>
          <cell r="G144">
            <v>0</v>
          </cell>
          <cell r="I144">
            <v>0</v>
          </cell>
          <cell r="K144">
            <v>0</v>
          </cell>
          <cell r="L144">
            <v>0</v>
          </cell>
          <cell r="N144">
            <v>0</v>
          </cell>
          <cell r="O144">
            <v>0</v>
          </cell>
          <cell r="P144">
            <v>0</v>
          </cell>
          <cell r="Q144">
            <v>0</v>
          </cell>
        </row>
        <row r="145">
          <cell r="D145">
            <v>0</v>
          </cell>
          <cell r="F145">
            <v>0</v>
          </cell>
          <cell r="G145">
            <v>0</v>
          </cell>
          <cell r="I145">
            <v>0</v>
          </cell>
          <cell r="K145">
            <v>0</v>
          </cell>
          <cell r="L145">
            <v>0</v>
          </cell>
          <cell r="N145">
            <v>0</v>
          </cell>
          <cell r="O145">
            <v>0</v>
          </cell>
          <cell r="P145">
            <v>0</v>
          </cell>
          <cell r="Q145">
            <v>0</v>
          </cell>
        </row>
        <row r="146">
          <cell r="D146">
            <v>0</v>
          </cell>
          <cell r="F146">
            <v>0</v>
          </cell>
          <cell r="G146">
            <v>0</v>
          </cell>
          <cell r="I146">
            <v>0</v>
          </cell>
          <cell r="K146">
            <v>0</v>
          </cell>
          <cell r="L146">
            <v>0</v>
          </cell>
          <cell r="N146">
            <v>0</v>
          </cell>
          <cell r="O146">
            <v>0</v>
          </cell>
          <cell r="P146">
            <v>0</v>
          </cell>
          <cell r="Q146">
            <v>0</v>
          </cell>
        </row>
        <row r="147">
          <cell r="D147">
            <v>0</v>
          </cell>
          <cell r="F147">
            <v>0</v>
          </cell>
          <cell r="G147">
            <v>0</v>
          </cell>
          <cell r="I147">
            <v>0</v>
          </cell>
          <cell r="K147">
            <v>0</v>
          </cell>
          <cell r="L147">
            <v>0</v>
          </cell>
          <cell r="N147">
            <v>0</v>
          </cell>
          <cell r="O147">
            <v>0</v>
          </cell>
          <cell r="P147">
            <v>0</v>
          </cell>
          <cell r="Q147">
            <v>0</v>
          </cell>
        </row>
        <row r="148">
          <cell r="D148">
            <v>0</v>
          </cell>
          <cell r="F148">
            <v>0</v>
          </cell>
          <cell r="G148">
            <v>0</v>
          </cell>
          <cell r="I148">
            <v>0</v>
          </cell>
          <cell r="K148">
            <v>0</v>
          </cell>
          <cell r="L148">
            <v>0</v>
          </cell>
          <cell r="N148">
            <v>0</v>
          </cell>
          <cell r="O148">
            <v>0</v>
          </cell>
          <cell r="P148">
            <v>0</v>
          </cell>
          <cell r="Q148">
            <v>0</v>
          </cell>
        </row>
        <row r="149">
          <cell r="D149">
            <v>0</v>
          </cell>
          <cell r="F149">
            <v>0</v>
          </cell>
          <cell r="G149">
            <v>0</v>
          </cell>
          <cell r="I149">
            <v>0</v>
          </cell>
          <cell r="K149">
            <v>0</v>
          </cell>
          <cell r="L149">
            <v>0</v>
          </cell>
          <cell r="N149">
            <v>0</v>
          </cell>
          <cell r="O149">
            <v>0</v>
          </cell>
          <cell r="P149">
            <v>0</v>
          </cell>
          <cell r="Q149">
            <v>0</v>
          </cell>
        </row>
        <row r="150">
          <cell r="D150">
            <v>0</v>
          </cell>
          <cell r="F150">
            <v>0</v>
          </cell>
          <cell r="G150">
            <v>0</v>
          </cell>
          <cell r="I150">
            <v>0</v>
          </cell>
          <cell r="K150">
            <v>0</v>
          </cell>
          <cell r="L150">
            <v>0</v>
          </cell>
          <cell r="N150">
            <v>0</v>
          </cell>
          <cell r="O150">
            <v>0</v>
          </cell>
          <cell r="P150">
            <v>0</v>
          </cell>
          <cell r="Q150">
            <v>0</v>
          </cell>
        </row>
        <row r="151">
          <cell r="D151">
            <v>0</v>
          </cell>
          <cell r="F151">
            <v>0</v>
          </cell>
          <cell r="G151">
            <v>0</v>
          </cell>
          <cell r="I151">
            <v>0</v>
          </cell>
          <cell r="K151">
            <v>0</v>
          </cell>
          <cell r="L151">
            <v>0</v>
          </cell>
          <cell r="N151">
            <v>0</v>
          </cell>
          <cell r="O151">
            <v>0</v>
          </cell>
          <cell r="P151">
            <v>0</v>
          </cell>
          <cell r="Q151">
            <v>0</v>
          </cell>
        </row>
        <row r="152">
          <cell r="D152">
            <v>0</v>
          </cell>
          <cell r="F152">
            <v>0</v>
          </cell>
          <cell r="G152">
            <v>0</v>
          </cell>
          <cell r="I152">
            <v>0</v>
          </cell>
          <cell r="K152">
            <v>0</v>
          </cell>
          <cell r="L152">
            <v>0</v>
          </cell>
          <cell r="N152">
            <v>0</v>
          </cell>
          <cell r="O152">
            <v>0</v>
          </cell>
          <cell r="P152">
            <v>0</v>
          </cell>
          <cell r="Q152">
            <v>0</v>
          </cell>
        </row>
        <row r="153">
          <cell r="D153">
            <v>0</v>
          </cell>
          <cell r="F153">
            <v>0</v>
          </cell>
          <cell r="G153">
            <v>0</v>
          </cell>
          <cell r="I153">
            <v>0</v>
          </cell>
          <cell r="K153">
            <v>0</v>
          </cell>
          <cell r="L153">
            <v>0</v>
          </cell>
          <cell r="N153">
            <v>0</v>
          </cell>
          <cell r="O153">
            <v>0</v>
          </cell>
          <cell r="P153">
            <v>0</v>
          </cell>
          <cell r="Q153">
            <v>0</v>
          </cell>
        </row>
        <row r="154">
          <cell r="D154">
            <v>0</v>
          </cell>
          <cell r="F154">
            <v>0</v>
          </cell>
          <cell r="G154">
            <v>0</v>
          </cell>
          <cell r="I154">
            <v>0</v>
          </cell>
          <cell r="K154">
            <v>0</v>
          </cell>
          <cell r="L154">
            <v>0</v>
          </cell>
          <cell r="N154">
            <v>0</v>
          </cell>
          <cell r="O154">
            <v>0</v>
          </cell>
          <cell r="P154">
            <v>0</v>
          </cell>
          <cell r="Q154">
            <v>0</v>
          </cell>
        </row>
        <row r="155">
          <cell r="D155">
            <v>0</v>
          </cell>
          <cell r="F155">
            <v>0</v>
          </cell>
          <cell r="G155">
            <v>0</v>
          </cell>
          <cell r="I155">
            <v>0</v>
          </cell>
          <cell r="K155">
            <v>0</v>
          </cell>
          <cell r="L155">
            <v>0</v>
          </cell>
          <cell r="N155">
            <v>0</v>
          </cell>
          <cell r="O155">
            <v>0</v>
          </cell>
          <cell r="P155">
            <v>0</v>
          </cell>
          <cell r="Q155">
            <v>0</v>
          </cell>
        </row>
        <row r="156">
          <cell r="D156">
            <v>0</v>
          </cell>
          <cell r="F156">
            <v>0</v>
          </cell>
          <cell r="G156">
            <v>0</v>
          </cell>
          <cell r="I156">
            <v>0</v>
          </cell>
          <cell r="K156">
            <v>0</v>
          </cell>
          <cell r="L156">
            <v>0</v>
          </cell>
          <cell r="N156">
            <v>0</v>
          </cell>
          <cell r="O156">
            <v>0</v>
          </cell>
          <cell r="P156">
            <v>0</v>
          </cell>
          <cell r="Q156">
            <v>0</v>
          </cell>
        </row>
        <row r="157">
          <cell r="D157">
            <v>0</v>
          </cell>
          <cell r="F157">
            <v>0</v>
          </cell>
          <cell r="G157">
            <v>0</v>
          </cell>
          <cell r="I157">
            <v>0</v>
          </cell>
          <cell r="K157">
            <v>0</v>
          </cell>
          <cell r="L157">
            <v>0</v>
          </cell>
          <cell r="N157">
            <v>0</v>
          </cell>
          <cell r="O157">
            <v>0</v>
          </cell>
          <cell r="P157">
            <v>0</v>
          </cell>
          <cell r="Q157">
            <v>0</v>
          </cell>
        </row>
        <row r="158">
          <cell r="D158">
            <v>0</v>
          </cell>
          <cell r="F158">
            <v>0</v>
          </cell>
          <cell r="G158">
            <v>0</v>
          </cell>
          <cell r="I158">
            <v>0</v>
          </cell>
          <cell r="K158">
            <v>0</v>
          </cell>
          <cell r="L158">
            <v>0</v>
          </cell>
          <cell r="N158">
            <v>0</v>
          </cell>
          <cell r="O158">
            <v>0</v>
          </cell>
          <cell r="P158">
            <v>0</v>
          </cell>
          <cell r="Q158">
            <v>0</v>
          </cell>
        </row>
        <row r="159">
          <cell r="D159">
            <v>0</v>
          </cell>
          <cell r="F159">
            <v>0</v>
          </cell>
          <cell r="G159">
            <v>0</v>
          </cell>
          <cell r="I159">
            <v>0</v>
          </cell>
          <cell r="K159">
            <v>0</v>
          </cell>
          <cell r="L159">
            <v>0</v>
          </cell>
          <cell r="N159">
            <v>0</v>
          </cell>
          <cell r="O159">
            <v>0</v>
          </cell>
          <cell r="P159">
            <v>0</v>
          </cell>
          <cell r="Q159">
            <v>0</v>
          </cell>
        </row>
        <row r="160">
          <cell r="D160">
            <v>0</v>
          </cell>
          <cell r="F160">
            <v>0</v>
          </cell>
          <cell r="G160">
            <v>0</v>
          </cell>
          <cell r="I160">
            <v>0</v>
          </cell>
          <cell r="K160">
            <v>0</v>
          </cell>
          <cell r="L160">
            <v>0</v>
          </cell>
          <cell r="N160">
            <v>0</v>
          </cell>
          <cell r="O160">
            <v>0</v>
          </cell>
          <cell r="P160">
            <v>0</v>
          </cell>
          <cell r="Q160">
            <v>0</v>
          </cell>
        </row>
        <row r="161">
          <cell r="D161">
            <v>0</v>
          </cell>
          <cell r="F161">
            <v>0</v>
          </cell>
          <cell r="G161">
            <v>0</v>
          </cell>
          <cell r="I161">
            <v>0</v>
          </cell>
          <cell r="K161">
            <v>0</v>
          </cell>
          <cell r="L161">
            <v>0</v>
          </cell>
          <cell r="N161">
            <v>0</v>
          </cell>
          <cell r="O161">
            <v>0</v>
          </cell>
          <cell r="P161">
            <v>0</v>
          </cell>
          <cell r="Q161">
            <v>0</v>
          </cell>
        </row>
        <row r="162">
          <cell r="D162">
            <v>0</v>
          </cell>
          <cell r="F162">
            <v>0</v>
          </cell>
          <cell r="G162">
            <v>0</v>
          </cell>
          <cell r="I162">
            <v>0</v>
          </cell>
          <cell r="K162">
            <v>0</v>
          </cell>
          <cell r="L162">
            <v>0</v>
          </cell>
          <cell r="N162">
            <v>0</v>
          </cell>
          <cell r="O162">
            <v>0</v>
          </cell>
          <cell r="P162">
            <v>0</v>
          </cell>
          <cell r="Q162">
            <v>0</v>
          </cell>
        </row>
        <row r="163">
          <cell r="D163">
            <v>0</v>
          </cell>
          <cell r="F163">
            <v>0</v>
          </cell>
          <cell r="G163">
            <v>0</v>
          </cell>
          <cell r="I163">
            <v>0</v>
          </cell>
          <cell r="K163">
            <v>0</v>
          </cell>
          <cell r="L163">
            <v>0</v>
          </cell>
          <cell r="N163">
            <v>0</v>
          </cell>
          <cell r="O163">
            <v>0</v>
          </cell>
          <cell r="P163">
            <v>0</v>
          </cell>
          <cell r="Q163">
            <v>0</v>
          </cell>
        </row>
        <row r="164">
          <cell r="D164">
            <v>0</v>
          </cell>
          <cell r="F164">
            <v>0</v>
          </cell>
          <cell r="G164">
            <v>0</v>
          </cell>
          <cell r="I164">
            <v>0</v>
          </cell>
          <cell r="K164">
            <v>0</v>
          </cell>
          <cell r="L164">
            <v>0</v>
          </cell>
          <cell r="N164">
            <v>0</v>
          </cell>
          <cell r="O164">
            <v>0</v>
          </cell>
          <cell r="P164">
            <v>0</v>
          </cell>
          <cell r="Q164">
            <v>0</v>
          </cell>
        </row>
        <row r="165">
          <cell r="D165">
            <v>0</v>
          </cell>
          <cell r="F165">
            <v>0</v>
          </cell>
          <cell r="G165">
            <v>0</v>
          </cell>
          <cell r="I165">
            <v>0</v>
          </cell>
          <cell r="K165">
            <v>0</v>
          </cell>
          <cell r="L165">
            <v>0</v>
          </cell>
          <cell r="N165">
            <v>0</v>
          </cell>
          <cell r="O165">
            <v>0</v>
          </cell>
          <cell r="P165">
            <v>0</v>
          </cell>
          <cell r="Q165">
            <v>0</v>
          </cell>
        </row>
        <row r="166">
          <cell r="D166">
            <v>0</v>
          </cell>
          <cell r="F166">
            <v>0</v>
          </cell>
          <cell r="G166">
            <v>0</v>
          </cell>
          <cell r="I166">
            <v>0</v>
          </cell>
          <cell r="K166">
            <v>0</v>
          </cell>
          <cell r="L166">
            <v>0</v>
          </cell>
          <cell r="N166">
            <v>0</v>
          </cell>
          <cell r="O166">
            <v>0</v>
          </cell>
          <cell r="P166">
            <v>0</v>
          </cell>
          <cell r="Q166">
            <v>0</v>
          </cell>
        </row>
        <row r="167">
          <cell r="D167">
            <v>0</v>
          </cell>
          <cell r="F167">
            <v>0</v>
          </cell>
          <cell r="G167">
            <v>0</v>
          </cell>
          <cell r="I167">
            <v>0</v>
          </cell>
          <cell r="K167">
            <v>0</v>
          </cell>
          <cell r="L167">
            <v>0</v>
          </cell>
          <cell r="N167">
            <v>0</v>
          </cell>
          <cell r="O167">
            <v>0</v>
          </cell>
          <cell r="P167">
            <v>0</v>
          </cell>
          <cell r="Q167">
            <v>0</v>
          </cell>
        </row>
        <row r="168">
          <cell r="D168">
            <v>0</v>
          </cell>
          <cell r="F168">
            <v>0</v>
          </cell>
          <cell r="G168">
            <v>0</v>
          </cell>
          <cell r="I168">
            <v>0</v>
          </cell>
          <cell r="K168">
            <v>0</v>
          </cell>
          <cell r="L168">
            <v>0</v>
          </cell>
          <cell r="N168">
            <v>0</v>
          </cell>
          <cell r="O168">
            <v>0</v>
          </cell>
          <cell r="P168">
            <v>0</v>
          </cell>
          <cell r="Q168">
            <v>0</v>
          </cell>
        </row>
        <row r="169">
          <cell r="D169">
            <v>0</v>
          </cell>
          <cell r="F169">
            <v>0</v>
          </cell>
          <cell r="G169">
            <v>0</v>
          </cell>
          <cell r="I169">
            <v>0</v>
          </cell>
          <cell r="K169">
            <v>0</v>
          </cell>
          <cell r="L169">
            <v>0</v>
          </cell>
          <cell r="N169">
            <v>0</v>
          </cell>
          <cell r="O169">
            <v>0</v>
          </cell>
          <cell r="P169">
            <v>0</v>
          </cell>
          <cell r="Q169">
            <v>0</v>
          </cell>
        </row>
        <row r="170">
          <cell r="D170">
            <v>0</v>
          </cell>
          <cell r="F170">
            <v>0</v>
          </cell>
          <cell r="G170">
            <v>0</v>
          </cell>
          <cell r="I170">
            <v>0</v>
          </cell>
          <cell r="K170">
            <v>0</v>
          </cell>
          <cell r="L170">
            <v>0</v>
          </cell>
          <cell r="N170">
            <v>0</v>
          </cell>
          <cell r="O170">
            <v>0</v>
          </cell>
          <cell r="P170">
            <v>0</v>
          </cell>
          <cell r="Q170">
            <v>0</v>
          </cell>
        </row>
        <row r="171">
          <cell r="D171">
            <v>0</v>
          </cell>
          <cell r="F171">
            <v>0</v>
          </cell>
          <cell r="G171">
            <v>0</v>
          </cell>
          <cell r="I171">
            <v>0</v>
          </cell>
          <cell r="K171">
            <v>0</v>
          </cell>
          <cell r="L171">
            <v>0</v>
          </cell>
          <cell r="N171">
            <v>0</v>
          </cell>
          <cell r="O171">
            <v>0</v>
          </cell>
          <cell r="P171">
            <v>0</v>
          </cell>
          <cell r="Q171">
            <v>0</v>
          </cell>
        </row>
        <row r="172">
          <cell r="D172">
            <v>0</v>
          </cell>
          <cell r="F172">
            <v>0</v>
          </cell>
          <cell r="G172">
            <v>0</v>
          </cell>
          <cell r="I172">
            <v>0</v>
          </cell>
          <cell r="K172">
            <v>0</v>
          </cell>
          <cell r="L172">
            <v>0</v>
          </cell>
          <cell r="N172">
            <v>0</v>
          </cell>
          <cell r="O172">
            <v>0</v>
          </cell>
          <cell r="P172">
            <v>0</v>
          </cell>
          <cell r="Q172">
            <v>0</v>
          </cell>
        </row>
        <row r="173">
          <cell r="D173">
            <v>0</v>
          </cell>
          <cell r="F173">
            <v>0</v>
          </cell>
          <cell r="G173">
            <v>0</v>
          </cell>
          <cell r="I173">
            <v>0</v>
          </cell>
          <cell r="K173">
            <v>0</v>
          </cell>
          <cell r="L173">
            <v>0</v>
          </cell>
          <cell r="N173">
            <v>0</v>
          </cell>
          <cell r="O173">
            <v>0</v>
          </cell>
          <cell r="P173">
            <v>0</v>
          </cell>
          <cell r="Q173">
            <v>0</v>
          </cell>
        </row>
        <row r="174">
          <cell r="D174">
            <v>0</v>
          </cell>
          <cell r="F174">
            <v>0</v>
          </cell>
          <cell r="I174">
            <v>0</v>
          </cell>
          <cell r="O174">
            <v>0</v>
          </cell>
        </row>
        <row r="175">
          <cell r="D175">
            <v>0</v>
          </cell>
          <cell r="F175">
            <v>0</v>
          </cell>
          <cell r="I175">
            <v>0</v>
          </cell>
          <cell r="O175">
            <v>0</v>
          </cell>
        </row>
        <row r="176">
          <cell r="D176">
            <v>0</v>
          </cell>
          <cell r="F176">
            <v>0</v>
          </cell>
          <cell r="I176">
            <v>0</v>
          </cell>
          <cell r="O176">
            <v>0</v>
          </cell>
        </row>
        <row r="177">
          <cell r="D177">
            <v>0</v>
          </cell>
          <cell r="F177">
            <v>0</v>
          </cell>
          <cell r="I177">
            <v>0</v>
          </cell>
          <cell r="O177">
            <v>0</v>
          </cell>
        </row>
        <row r="178">
          <cell r="D178">
            <v>0</v>
          </cell>
          <cell r="F178">
            <v>0</v>
          </cell>
          <cell r="I178">
            <v>0</v>
          </cell>
          <cell r="O178">
            <v>0</v>
          </cell>
        </row>
        <row r="179">
          <cell r="D179">
            <v>0</v>
          </cell>
          <cell r="F179">
            <v>0</v>
          </cell>
          <cell r="I179">
            <v>0</v>
          </cell>
          <cell r="O179">
            <v>0</v>
          </cell>
        </row>
        <row r="180">
          <cell r="D180">
            <v>0</v>
          </cell>
          <cell r="F180">
            <v>0</v>
          </cell>
          <cell r="I180">
            <v>0</v>
          </cell>
          <cell r="O180">
            <v>0</v>
          </cell>
        </row>
        <row r="181">
          <cell r="D181">
            <v>0</v>
          </cell>
          <cell r="F181">
            <v>0</v>
          </cell>
          <cell r="I181">
            <v>0</v>
          </cell>
          <cell r="O181">
            <v>0</v>
          </cell>
        </row>
        <row r="182">
          <cell r="D182">
            <v>0</v>
          </cell>
          <cell r="F182">
            <v>0</v>
          </cell>
          <cell r="I182">
            <v>0</v>
          </cell>
          <cell r="O182">
            <v>0</v>
          </cell>
        </row>
        <row r="183">
          <cell r="D183">
            <v>0</v>
          </cell>
          <cell r="F183">
            <v>0</v>
          </cell>
          <cell r="I183">
            <v>0</v>
          </cell>
          <cell r="O183">
            <v>0</v>
          </cell>
        </row>
        <row r="184">
          <cell r="D184">
            <v>0</v>
          </cell>
          <cell r="F184">
            <v>0</v>
          </cell>
          <cell r="I184">
            <v>0</v>
          </cell>
          <cell r="O184">
            <v>0</v>
          </cell>
        </row>
        <row r="185">
          <cell r="D185">
            <v>0</v>
          </cell>
          <cell r="F185">
            <v>0</v>
          </cell>
          <cell r="I185">
            <v>0</v>
          </cell>
          <cell r="O185">
            <v>0</v>
          </cell>
        </row>
        <row r="186">
          <cell r="D186">
            <v>0</v>
          </cell>
          <cell r="F186">
            <v>0</v>
          </cell>
          <cell r="I186">
            <v>0</v>
          </cell>
          <cell r="O186">
            <v>0</v>
          </cell>
        </row>
        <row r="187">
          <cell r="D187">
            <v>0</v>
          </cell>
          <cell r="F187">
            <v>0</v>
          </cell>
          <cell r="I187">
            <v>0</v>
          </cell>
          <cell r="O187">
            <v>0</v>
          </cell>
        </row>
        <row r="188">
          <cell r="D188">
            <v>0</v>
          </cell>
          <cell r="F188">
            <v>0</v>
          </cell>
          <cell r="I188">
            <v>0</v>
          </cell>
          <cell r="O188">
            <v>0</v>
          </cell>
        </row>
        <row r="189">
          <cell r="D189">
            <v>0</v>
          </cell>
          <cell r="F189">
            <v>0</v>
          </cell>
          <cell r="I189">
            <v>0</v>
          </cell>
          <cell r="O189">
            <v>0</v>
          </cell>
        </row>
        <row r="190">
          <cell r="D190">
            <v>0</v>
          </cell>
          <cell r="F190">
            <v>0</v>
          </cell>
          <cell r="I190">
            <v>0</v>
          </cell>
          <cell r="O190">
            <v>0</v>
          </cell>
        </row>
        <row r="191">
          <cell r="D191">
            <v>0</v>
          </cell>
          <cell r="F191">
            <v>0</v>
          </cell>
          <cell r="I191">
            <v>0</v>
          </cell>
          <cell r="O191">
            <v>0</v>
          </cell>
        </row>
        <row r="192">
          <cell r="D192">
            <v>0</v>
          </cell>
          <cell r="F192">
            <v>0</v>
          </cell>
          <cell r="I192">
            <v>0</v>
          </cell>
          <cell r="O192">
            <v>0</v>
          </cell>
        </row>
        <row r="193">
          <cell r="D193">
            <v>0</v>
          </cell>
          <cell r="F193">
            <v>0</v>
          </cell>
          <cell r="I193">
            <v>0</v>
          </cell>
          <cell r="O193">
            <v>0</v>
          </cell>
        </row>
        <row r="194">
          <cell r="D194">
            <v>0</v>
          </cell>
          <cell r="F194">
            <v>0</v>
          </cell>
          <cell r="I194">
            <v>0</v>
          </cell>
          <cell r="O194">
            <v>0</v>
          </cell>
        </row>
        <row r="195">
          <cell r="D195">
            <v>0</v>
          </cell>
          <cell r="F195">
            <v>0</v>
          </cell>
          <cell r="I195">
            <v>0</v>
          </cell>
          <cell r="O195">
            <v>0</v>
          </cell>
        </row>
        <row r="196">
          <cell r="D196">
            <v>0</v>
          </cell>
          <cell r="F196">
            <v>0</v>
          </cell>
          <cell r="I196">
            <v>0</v>
          </cell>
          <cell r="O196">
            <v>0</v>
          </cell>
        </row>
        <row r="197">
          <cell r="D197">
            <v>0</v>
          </cell>
          <cell r="F197">
            <v>0</v>
          </cell>
          <cell r="I197">
            <v>0</v>
          </cell>
          <cell r="O197">
            <v>0</v>
          </cell>
        </row>
        <row r="198">
          <cell r="D198">
            <v>0</v>
          </cell>
          <cell r="F198">
            <v>0</v>
          </cell>
          <cell r="I198">
            <v>0</v>
          </cell>
          <cell r="O198">
            <v>0</v>
          </cell>
        </row>
        <row r="199">
          <cell r="D199">
            <v>0</v>
          </cell>
          <cell r="F199">
            <v>0</v>
          </cell>
          <cell r="I199">
            <v>0</v>
          </cell>
          <cell r="O199">
            <v>0</v>
          </cell>
        </row>
        <row r="200">
          <cell r="D200">
            <v>0</v>
          </cell>
          <cell r="F200">
            <v>0</v>
          </cell>
          <cell r="I200">
            <v>0</v>
          </cell>
          <cell r="O200">
            <v>0</v>
          </cell>
        </row>
        <row r="201">
          <cell r="D201">
            <v>0</v>
          </cell>
          <cell r="F201">
            <v>0</v>
          </cell>
          <cell r="I201">
            <v>0</v>
          </cell>
          <cell r="O201">
            <v>0</v>
          </cell>
        </row>
        <row r="202">
          <cell r="D202">
            <v>0</v>
          </cell>
          <cell r="F202">
            <v>0</v>
          </cell>
          <cell r="I202">
            <v>0</v>
          </cell>
          <cell r="O202">
            <v>0</v>
          </cell>
        </row>
        <row r="203">
          <cell r="D203">
            <v>0</v>
          </cell>
          <cell r="F203">
            <v>0</v>
          </cell>
          <cell r="I203">
            <v>0</v>
          </cell>
          <cell r="O203">
            <v>0</v>
          </cell>
        </row>
        <row r="204">
          <cell r="D204">
            <v>0</v>
          </cell>
          <cell r="F204">
            <v>0</v>
          </cell>
          <cell r="I204">
            <v>0</v>
          </cell>
          <cell r="O204">
            <v>0</v>
          </cell>
        </row>
        <row r="205">
          <cell r="D205">
            <v>0</v>
          </cell>
          <cell r="F205">
            <v>0</v>
          </cell>
          <cell r="I205">
            <v>0</v>
          </cell>
          <cell r="O205">
            <v>0</v>
          </cell>
        </row>
        <row r="206">
          <cell r="D206">
            <v>0</v>
          </cell>
          <cell r="F206">
            <v>0</v>
          </cell>
          <cell r="I206">
            <v>0</v>
          </cell>
          <cell r="O206">
            <v>0</v>
          </cell>
        </row>
        <row r="207">
          <cell r="D207">
            <v>0</v>
          </cell>
          <cell r="F207">
            <v>0</v>
          </cell>
          <cell r="I207">
            <v>0</v>
          </cell>
          <cell r="O207">
            <v>0</v>
          </cell>
        </row>
        <row r="208">
          <cell r="D208">
            <v>0</v>
          </cell>
          <cell r="F208">
            <v>0</v>
          </cell>
          <cell r="I208">
            <v>0</v>
          </cell>
          <cell r="O208">
            <v>0</v>
          </cell>
        </row>
        <row r="209">
          <cell r="D209">
            <v>0</v>
          </cell>
          <cell r="F209">
            <v>0</v>
          </cell>
          <cell r="I209">
            <v>0</v>
          </cell>
          <cell r="O209">
            <v>0</v>
          </cell>
        </row>
        <row r="210">
          <cell r="D210">
            <v>0</v>
          </cell>
          <cell r="F210">
            <v>0</v>
          </cell>
          <cell r="I210">
            <v>0</v>
          </cell>
          <cell r="O210">
            <v>0</v>
          </cell>
        </row>
        <row r="211">
          <cell r="D211">
            <v>0</v>
          </cell>
          <cell r="F211">
            <v>0</v>
          </cell>
          <cell r="I211">
            <v>0</v>
          </cell>
          <cell r="O211">
            <v>0</v>
          </cell>
        </row>
        <row r="212">
          <cell r="D212">
            <v>0</v>
          </cell>
          <cell r="F212">
            <v>0</v>
          </cell>
          <cell r="I212">
            <v>0</v>
          </cell>
          <cell r="O212">
            <v>0</v>
          </cell>
        </row>
        <row r="213">
          <cell r="D213">
            <v>0</v>
          </cell>
          <cell r="F213">
            <v>0</v>
          </cell>
          <cell r="I213">
            <v>0</v>
          </cell>
          <cell r="O213">
            <v>0</v>
          </cell>
        </row>
        <row r="214">
          <cell r="D214">
            <v>0</v>
          </cell>
          <cell r="F214">
            <v>0</v>
          </cell>
          <cell r="I214">
            <v>0</v>
          </cell>
          <cell r="O214">
            <v>0</v>
          </cell>
        </row>
        <row r="215">
          <cell r="D215">
            <v>0</v>
          </cell>
          <cell r="F215">
            <v>0</v>
          </cell>
          <cell r="I215">
            <v>0</v>
          </cell>
          <cell r="O215">
            <v>0</v>
          </cell>
        </row>
        <row r="216">
          <cell r="D216">
            <v>0</v>
          </cell>
          <cell r="F216">
            <v>0</v>
          </cell>
          <cell r="I216">
            <v>0</v>
          </cell>
          <cell r="O216">
            <v>0</v>
          </cell>
        </row>
        <row r="217">
          <cell r="D217">
            <v>0</v>
          </cell>
          <cell r="F217">
            <v>0</v>
          </cell>
          <cell r="I217">
            <v>0</v>
          </cell>
          <cell r="O217">
            <v>0</v>
          </cell>
        </row>
        <row r="218">
          <cell r="D218">
            <v>0</v>
          </cell>
          <cell r="F218">
            <v>0</v>
          </cell>
          <cell r="I218">
            <v>0</v>
          </cell>
          <cell r="O218">
            <v>0</v>
          </cell>
        </row>
        <row r="219">
          <cell r="D219">
            <v>0</v>
          </cell>
          <cell r="F219">
            <v>0</v>
          </cell>
          <cell r="I219">
            <v>0</v>
          </cell>
          <cell r="O219">
            <v>0</v>
          </cell>
        </row>
        <row r="220">
          <cell r="D220">
            <v>0</v>
          </cell>
          <cell r="F220">
            <v>0</v>
          </cell>
          <cell r="I220">
            <v>0</v>
          </cell>
          <cell r="O220">
            <v>0</v>
          </cell>
        </row>
        <row r="221">
          <cell r="D221">
            <v>0</v>
          </cell>
          <cell r="F221">
            <v>0</v>
          </cell>
          <cell r="I221">
            <v>0</v>
          </cell>
          <cell r="O221">
            <v>0</v>
          </cell>
        </row>
        <row r="222">
          <cell r="D222">
            <v>0</v>
          </cell>
          <cell r="F222">
            <v>0</v>
          </cell>
          <cell r="I222">
            <v>0</v>
          </cell>
          <cell r="O222">
            <v>0</v>
          </cell>
        </row>
        <row r="223">
          <cell r="D223">
            <v>0</v>
          </cell>
          <cell r="F223">
            <v>0</v>
          </cell>
          <cell r="I223">
            <v>0</v>
          </cell>
          <cell r="O223">
            <v>0</v>
          </cell>
        </row>
        <row r="224">
          <cell r="D224">
            <v>0</v>
          </cell>
          <cell r="F224">
            <v>0</v>
          </cell>
          <cell r="I224">
            <v>0</v>
          </cell>
          <cell r="O224">
            <v>0</v>
          </cell>
        </row>
        <row r="225">
          <cell r="D225">
            <v>0</v>
          </cell>
          <cell r="F225">
            <v>0</v>
          </cell>
          <cell r="I225">
            <v>0</v>
          </cell>
          <cell r="O225">
            <v>0</v>
          </cell>
        </row>
        <row r="226">
          <cell r="D226">
            <v>0</v>
          </cell>
          <cell r="F226">
            <v>0</v>
          </cell>
          <cell r="I226">
            <v>0</v>
          </cell>
          <cell r="O226">
            <v>0</v>
          </cell>
        </row>
        <row r="227">
          <cell r="D227">
            <v>0</v>
          </cell>
          <cell r="F227">
            <v>0</v>
          </cell>
          <cell r="I227">
            <v>0</v>
          </cell>
          <cell r="O227">
            <v>0</v>
          </cell>
        </row>
        <row r="228">
          <cell r="D228">
            <v>0</v>
          </cell>
          <cell r="F228">
            <v>0</v>
          </cell>
          <cell r="I228">
            <v>0</v>
          </cell>
          <cell r="O228">
            <v>0</v>
          </cell>
        </row>
        <row r="229">
          <cell r="D229">
            <v>0</v>
          </cell>
          <cell r="F229">
            <v>0</v>
          </cell>
          <cell r="I229">
            <v>0</v>
          </cell>
          <cell r="O229">
            <v>0</v>
          </cell>
        </row>
        <row r="230">
          <cell r="D230">
            <v>0</v>
          </cell>
          <cell r="F230">
            <v>0</v>
          </cell>
          <cell r="I230">
            <v>0</v>
          </cell>
          <cell r="O230">
            <v>0</v>
          </cell>
        </row>
        <row r="231">
          <cell r="D231">
            <v>0</v>
          </cell>
          <cell r="F231">
            <v>0</v>
          </cell>
          <cell r="I231">
            <v>0</v>
          </cell>
          <cell r="O231">
            <v>0</v>
          </cell>
        </row>
        <row r="232">
          <cell r="D232">
            <v>0</v>
          </cell>
          <cell r="F232">
            <v>0</v>
          </cell>
          <cell r="I232">
            <v>0</v>
          </cell>
          <cell r="O232">
            <v>0</v>
          </cell>
        </row>
        <row r="233">
          <cell r="D233">
            <v>0</v>
          </cell>
          <cell r="F233">
            <v>0</v>
          </cell>
          <cell r="I233">
            <v>0</v>
          </cell>
          <cell r="O233">
            <v>0</v>
          </cell>
        </row>
        <row r="234">
          <cell r="D234">
            <v>0</v>
          </cell>
          <cell r="F234">
            <v>0</v>
          </cell>
          <cell r="I234">
            <v>0</v>
          </cell>
          <cell r="O234">
            <v>0</v>
          </cell>
        </row>
        <row r="235">
          <cell r="D235">
            <v>0</v>
          </cell>
          <cell r="F235">
            <v>0</v>
          </cell>
          <cell r="I235">
            <v>0</v>
          </cell>
          <cell r="O235">
            <v>0</v>
          </cell>
        </row>
        <row r="236">
          <cell r="D236">
            <v>0</v>
          </cell>
          <cell r="F236">
            <v>0</v>
          </cell>
          <cell r="I236">
            <v>0</v>
          </cell>
          <cell r="O236">
            <v>0</v>
          </cell>
        </row>
        <row r="237">
          <cell r="D237">
            <v>0</v>
          </cell>
          <cell r="F237">
            <v>0</v>
          </cell>
          <cell r="I237">
            <v>0</v>
          </cell>
          <cell r="O237">
            <v>0</v>
          </cell>
        </row>
        <row r="238">
          <cell r="D238">
            <v>0</v>
          </cell>
          <cell r="F238">
            <v>0</v>
          </cell>
          <cell r="I238">
            <v>0</v>
          </cell>
          <cell r="O238">
            <v>0</v>
          </cell>
        </row>
        <row r="239">
          <cell r="D239">
            <v>0</v>
          </cell>
          <cell r="F239">
            <v>0</v>
          </cell>
          <cell r="I239">
            <v>0</v>
          </cell>
          <cell r="O239">
            <v>0</v>
          </cell>
        </row>
        <row r="240">
          <cell r="D240">
            <v>0</v>
          </cell>
          <cell r="F240">
            <v>0</v>
          </cell>
          <cell r="I240">
            <v>0</v>
          </cell>
          <cell r="O240">
            <v>0</v>
          </cell>
        </row>
        <row r="241">
          <cell r="D241">
            <v>0</v>
          </cell>
          <cell r="F241">
            <v>0</v>
          </cell>
          <cell r="I241">
            <v>0</v>
          </cell>
          <cell r="O241">
            <v>0</v>
          </cell>
        </row>
        <row r="242">
          <cell r="D242">
            <v>0</v>
          </cell>
          <cell r="F242">
            <v>0</v>
          </cell>
          <cell r="I242">
            <v>0</v>
          </cell>
          <cell r="O242">
            <v>0</v>
          </cell>
        </row>
        <row r="243">
          <cell r="D243">
            <v>0</v>
          </cell>
          <cell r="F243">
            <v>0</v>
          </cell>
          <cell r="I243">
            <v>0</v>
          </cell>
          <cell r="O243">
            <v>0</v>
          </cell>
        </row>
        <row r="244">
          <cell r="D244">
            <v>0</v>
          </cell>
          <cell r="F244">
            <v>0</v>
          </cell>
          <cell r="I244">
            <v>0</v>
          </cell>
          <cell r="O244">
            <v>0</v>
          </cell>
        </row>
        <row r="245">
          <cell r="D245">
            <v>0</v>
          </cell>
          <cell r="F245">
            <v>0</v>
          </cell>
          <cell r="I245">
            <v>0</v>
          </cell>
          <cell r="O245">
            <v>0</v>
          </cell>
        </row>
        <row r="246">
          <cell r="D246">
            <v>0</v>
          </cell>
          <cell r="F246">
            <v>0</v>
          </cell>
          <cell r="I246">
            <v>0</v>
          </cell>
          <cell r="O246">
            <v>0</v>
          </cell>
        </row>
        <row r="247">
          <cell r="D247">
            <v>0</v>
          </cell>
          <cell r="F247">
            <v>0</v>
          </cell>
          <cell r="I247">
            <v>0</v>
          </cell>
          <cell r="O247">
            <v>0</v>
          </cell>
        </row>
        <row r="248">
          <cell r="D248">
            <v>0</v>
          </cell>
          <cell r="F248">
            <v>0</v>
          </cell>
          <cell r="I248">
            <v>0</v>
          </cell>
          <cell r="O248">
            <v>0</v>
          </cell>
        </row>
        <row r="249">
          <cell r="D249">
            <v>0</v>
          </cell>
          <cell r="F249">
            <v>0</v>
          </cell>
          <cell r="I249">
            <v>0</v>
          </cell>
          <cell r="O249">
            <v>0</v>
          </cell>
        </row>
        <row r="250">
          <cell r="D250">
            <v>0</v>
          </cell>
          <cell r="F250">
            <v>0</v>
          </cell>
          <cell r="I250">
            <v>0</v>
          </cell>
          <cell r="O250">
            <v>0</v>
          </cell>
        </row>
        <row r="251">
          <cell r="D251">
            <v>0</v>
          </cell>
          <cell r="F251">
            <v>0</v>
          </cell>
          <cell r="I251">
            <v>0</v>
          </cell>
          <cell r="O251">
            <v>0</v>
          </cell>
        </row>
        <row r="252">
          <cell r="D252">
            <v>0</v>
          </cell>
          <cell r="F252">
            <v>0</v>
          </cell>
          <cell r="I252">
            <v>0</v>
          </cell>
          <cell r="O252">
            <v>0</v>
          </cell>
        </row>
        <row r="253">
          <cell r="D253">
            <v>0</v>
          </cell>
          <cell r="F253">
            <v>0</v>
          </cell>
          <cell r="I253">
            <v>0</v>
          </cell>
          <cell r="O253">
            <v>0</v>
          </cell>
        </row>
        <row r="254">
          <cell r="D254">
            <v>0</v>
          </cell>
          <cell r="F254">
            <v>0</v>
          </cell>
          <cell r="I254">
            <v>0</v>
          </cell>
          <cell r="O254">
            <v>0</v>
          </cell>
        </row>
        <row r="255">
          <cell r="D255">
            <v>0</v>
          </cell>
          <cell r="F255">
            <v>0</v>
          </cell>
          <cell r="I255">
            <v>0</v>
          </cell>
          <cell r="O255">
            <v>0</v>
          </cell>
        </row>
        <row r="256">
          <cell r="D256">
            <v>0</v>
          </cell>
          <cell r="F256">
            <v>0</v>
          </cell>
          <cell r="I256">
            <v>0</v>
          </cell>
          <cell r="O256">
            <v>0</v>
          </cell>
        </row>
        <row r="257">
          <cell r="D257">
            <v>0</v>
          </cell>
          <cell r="F257">
            <v>0</v>
          </cell>
          <cell r="I257">
            <v>0</v>
          </cell>
          <cell r="O257">
            <v>0</v>
          </cell>
        </row>
        <row r="258">
          <cell r="D258">
            <v>0</v>
          </cell>
          <cell r="F258">
            <v>0</v>
          </cell>
          <cell r="I258">
            <v>0</v>
          </cell>
          <cell r="O258">
            <v>0</v>
          </cell>
        </row>
        <row r="259">
          <cell r="D259">
            <v>0</v>
          </cell>
          <cell r="F259">
            <v>0</v>
          </cell>
          <cell r="I259">
            <v>0</v>
          </cell>
          <cell r="O259">
            <v>0</v>
          </cell>
        </row>
        <row r="260">
          <cell r="D260">
            <v>0</v>
          </cell>
          <cell r="F260">
            <v>0</v>
          </cell>
          <cell r="I260">
            <v>0</v>
          </cell>
          <cell r="O260">
            <v>0</v>
          </cell>
        </row>
        <row r="261">
          <cell r="D261">
            <v>0</v>
          </cell>
          <cell r="F261">
            <v>0</v>
          </cell>
          <cell r="I261">
            <v>0</v>
          </cell>
          <cell r="O261">
            <v>0</v>
          </cell>
        </row>
        <row r="262">
          <cell r="D262">
            <v>0</v>
          </cell>
          <cell r="F262">
            <v>0</v>
          </cell>
          <cell r="I262">
            <v>0</v>
          </cell>
          <cell r="O262">
            <v>0</v>
          </cell>
        </row>
        <row r="263">
          <cell r="D263">
            <v>0</v>
          </cell>
          <cell r="F263">
            <v>0</v>
          </cell>
          <cell r="I263">
            <v>0</v>
          </cell>
          <cell r="O263">
            <v>0</v>
          </cell>
        </row>
        <row r="264">
          <cell r="D264">
            <v>0</v>
          </cell>
          <cell r="F264" t="e">
            <v>#REF!</v>
          </cell>
          <cell r="I264">
            <v>0</v>
          </cell>
          <cell r="N264">
            <v>0</v>
          </cell>
          <cell r="O264">
            <v>0</v>
          </cell>
        </row>
        <row r="265">
          <cell r="D265">
            <v>0</v>
          </cell>
          <cell r="F265" t="e">
            <v>#REF!</v>
          </cell>
          <cell r="I265">
            <v>0</v>
          </cell>
          <cell r="N265">
            <v>0</v>
          </cell>
          <cell r="O265">
            <v>0</v>
          </cell>
        </row>
        <row r="266">
          <cell r="D266">
            <v>0</v>
          </cell>
          <cell r="F266" t="e">
            <v>#REF!</v>
          </cell>
          <cell r="I266">
            <v>0</v>
          </cell>
          <cell r="N266">
            <v>0</v>
          </cell>
          <cell r="O266">
            <v>0</v>
          </cell>
        </row>
        <row r="267">
          <cell r="D267">
            <v>0</v>
          </cell>
          <cell r="F267" t="e">
            <v>#REF!</v>
          </cell>
          <cell r="I267">
            <v>0</v>
          </cell>
          <cell r="N267">
            <v>0</v>
          </cell>
          <cell r="O267">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Variables"/>
      <sheetName val="Risk template"/>
      <sheetName val="Export"/>
      <sheetName val="AMMI - Heatmap"/>
      <sheetName val="Summary"/>
      <sheetName val="Risk 1"/>
      <sheetName val="Risk 2"/>
      <sheetName val="Risk 3"/>
      <sheetName val="Risk 4"/>
      <sheetName val="Risk 5"/>
      <sheetName val="Risk 6"/>
      <sheetName val="Risk 7"/>
      <sheetName val="Risk 8"/>
      <sheetName val="Risk 9"/>
      <sheetName val="Risk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FC81-8ABC-4EE3-9F23-C75A6AD9AC0A}">
  <sheetPr>
    <tabColor theme="5" tint="-0.249977111117893"/>
  </sheetPr>
  <dimension ref="B1:T74"/>
  <sheetViews>
    <sheetView tabSelected="1" zoomScale="80" zoomScaleNormal="80" workbookViewId="0">
      <selection activeCell="G3" sqref="G3"/>
    </sheetView>
  </sheetViews>
  <sheetFormatPr defaultColWidth="8.7109375" defaultRowHeight="11.25" x14ac:dyDescent="0.2"/>
  <cols>
    <col min="1" max="1" width="2.5703125" style="53" customWidth="1"/>
    <col min="2" max="2" width="14.42578125" style="53" customWidth="1"/>
    <col min="3" max="3" width="6.85546875" style="53" customWidth="1"/>
    <col min="4" max="4" width="8.5703125" style="53" customWidth="1"/>
    <col min="5" max="5" width="21.28515625" style="53" customWidth="1"/>
    <col min="6" max="6" width="37.28515625" style="53" bestFit="1" customWidth="1"/>
    <col min="7" max="7" width="54.5703125" style="53" customWidth="1"/>
    <col min="8" max="8" width="11.42578125" style="53" customWidth="1"/>
    <col min="9" max="9" width="11.140625" style="53" customWidth="1"/>
    <col min="10" max="10" width="8.7109375" style="53"/>
    <col min="11" max="11" width="12.28515625" style="53" customWidth="1"/>
    <col min="12" max="12" width="47.85546875" style="53" customWidth="1"/>
    <col min="13" max="13" width="8.7109375" style="54"/>
    <col min="14" max="14" width="7.28515625" style="53" customWidth="1"/>
    <col min="15" max="16" width="15.42578125" style="53" customWidth="1"/>
    <col min="17" max="17" width="12.42578125" style="53" customWidth="1"/>
    <col min="18" max="18" width="8.7109375" style="53"/>
    <col min="19" max="19" width="10.85546875" style="53" customWidth="1"/>
    <col min="20" max="16384" width="8.7109375" style="53"/>
  </cols>
  <sheetData>
    <row r="1" spans="2:20" s="7" customFormat="1" ht="56.25" x14ac:dyDescent="0.2">
      <c r="B1" s="1" t="s">
        <v>0</v>
      </c>
      <c r="C1" s="1" t="s">
        <v>1</v>
      </c>
      <c r="D1" s="1" t="s">
        <v>2</v>
      </c>
      <c r="E1" s="1" t="s">
        <v>3</v>
      </c>
      <c r="F1" s="2" t="s">
        <v>4</v>
      </c>
      <c r="G1" s="3" t="s">
        <v>5</v>
      </c>
      <c r="H1" s="2" t="s">
        <v>6</v>
      </c>
      <c r="I1" s="2" t="s">
        <v>7</v>
      </c>
      <c r="J1" s="1" t="s">
        <v>8</v>
      </c>
      <c r="K1" s="1" t="s">
        <v>9</v>
      </c>
      <c r="L1" s="4" t="s">
        <v>10</v>
      </c>
      <c r="M1" s="1" t="s">
        <v>11</v>
      </c>
      <c r="N1" s="1" t="s">
        <v>12</v>
      </c>
      <c r="O1" s="4" t="s">
        <v>13</v>
      </c>
      <c r="P1" s="1" t="s">
        <v>14</v>
      </c>
      <c r="Q1" s="1" t="s">
        <v>15</v>
      </c>
      <c r="R1" s="1" t="s">
        <v>16</v>
      </c>
      <c r="S1" s="5" t="s">
        <v>17</v>
      </c>
      <c r="T1" s="6"/>
    </row>
    <row r="2" spans="2:20" s="21" customFormat="1" ht="87" customHeight="1" x14ac:dyDescent="0.2">
      <c r="B2" s="8" t="s">
        <v>18</v>
      </c>
      <c r="C2" s="9">
        <v>1</v>
      </c>
      <c r="D2" s="9" t="s">
        <v>19</v>
      </c>
      <c r="E2" s="10" t="s">
        <v>20</v>
      </c>
      <c r="F2" s="11" t="s">
        <v>21</v>
      </c>
      <c r="G2" s="12" t="s">
        <v>22</v>
      </c>
      <c r="H2" s="13" t="s">
        <v>23</v>
      </c>
      <c r="I2" s="13" t="s">
        <v>24</v>
      </c>
      <c r="J2" s="14">
        <f>IF($H2='[1]Data source'!$C$10,'[1]Data source'!$D$10,IF($H2='[1]Data source'!$C$11,'[1]Data source'!$D$11,IF($H2='[1]Data source'!$C$12,'[1]Data source'!$D$12,IF($H2='[1]Data source'!$C$13,'[1]Data source'!$D$13,IF($H2='[1]Data source'!$C$14,'[1]Data source'!$D$14,0)))))*IF($I2='[1]Data source'!$C$19,'[1]Data source'!$D$19,IF($I2='[1]Data source'!$C$20,'[1]Data source'!$D$20,IF($I2='[1]Data source'!$C$21,'[1]Data source'!$D$21,IF($I2='[1]Data source'!$C$22,'[1]Data source'!$D$22,IF($H2='[1]Data source'!$C$23,'[1]Data source'!$D$23,0)))))</f>
        <v>8</v>
      </c>
      <c r="K2" s="15" t="str">
        <f>IF(J2&lt;=4,"Acceptable",IF(J2&lt;=8,"Action Advisable",IF(J2&lt;=12,"Action Required","Unacceptable")))</f>
        <v>Action Advisable</v>
      </c>
      <c r="L2" s="16" t="s">
        <v>25</v>
      </c>
      <c r="M2" s="13" t="s">
        <v>26</v>
      </c>
      <c r="N2" s="17">
        <f>(1-IF($M2='[1]Data source'!$C$27,'[1]Data source'!$D$27,IF($M2='[1]Data source'!$C$28,'[1]Data source'!$D$28,IF($M2='[1]Data source'!$C$29,'[1]Data source'!$D$29,IF($M2='[1]Data source'!$C$30,'[1]Data source'!$D$30,0)))))*J2</f>
        <v>6.4</v>
      </c>
      <c r="O2" s="16"/>
      <c r="P2" s="18"/>
      <c r="Q2" s="18"/>
      <c r="R2" s="18"/>
      <c r="S2" s="19"/>
      <c r="T2" s="20"/>
    </row>
    <row r="3" spans="2:20" s="21" customFormat="1" ht="95.1" customHeight="1" x14ac:dyDescent="0.2">
      <c r="B3" s="8"/>
      <c r="C3" s="9">
        <v>2</v>
      </c>
      <c r="D3" s="9" t="s">
        <v>27</v>
      </c>
      <c r="E3" s="22" t="s">
        <v>28</v>
      </c>
      <c r="F3" s="11"/>
      <c r="G3" s="12" t="s">
        <v>29</v>
      </c>
      <c r="H3" s="13" t="s">
        <v>23</v>
      </c>
      <c r="I3" s="13" t="s">
        <v>30</v>
      </c>
      <c r="J3" s="14">
        <f>IF($H3='[1]Data source'!$C$10,'[1]Data source'!$D$10,IF($H3='[1]Data source'!$C$11,'[1]Data source'!$D$11,IF($H3='[1]Data source'!$C$12,'[1]Data source'!$D$12,IF($H3='[1]Data source'!$C$13,'[1]Data source'!$D$13,IF($H3='[1]Data source'!$C$14,'[1]Data source'!$D$14,0)))))*IF($I3='[1]Data source'!$C$19,'[1]Data source'!$D$19,IF($I3='[1]Data source'!$C$20,'[1]Data source'!$D$20,IF($I3='[1]Data source'!$C$21,'[1]Data source'!$D$21,IF($I3='[1]Data source'!$C$22,'[1]Data source'!$D$22,IF($H3='[1]Data source'!$C$23,'[1]Data source'!$D$23,0)))))</f>
        <v>12</v>
      </c>
      <c r="K3" s="15" t="str">
        <f t="shared" ref="K3:K67" si="0">IF(J3&lt;=4,"Acceptable",IF(J3&lt;=8,"Action Advisable",IF(J3&lt;=12,"Action Required","Unacceptable")))</f>
        <v>Action Required</v>
      </c>
      <c r="L3" s="16" t="s">
        <v>31</v>
      </c>
      <c r="M3" s="13" t="s">
        <v>26</v>
      </c>
      <c r="N3" s="23">
        <f>(1-IF($M3='[1]Data source'!$C$27,'[1]Data source'!$D$27,IF($M3='[1]Data source'!$C$28,'[1]Data source'!$D$28,IF($M3='[1]Data source'!$C$29,'[1]Data source'!$D$29,IF($M3='[1]Data source'!$C$30,'[1]Data source'!$D$30,0)))))*J3</f>
        <v>9.6000000000000014</v>
      </c>
      <c r="O3" s="16"/>
      <c r="P3" s="18"/>
      <c r="Q3" s="18"/>
      <c r="R3" s="18"/>
      <c r="S3" s="19"/>
      <c r="T3" s="20"/>
    </row>
    <row r="4" spans="2:20" s="21" customFormat="1" ht="108" customHeight="1" x14ac:dyDescent="0.2">
      <c r="B4" s="8"/>
      <c r="C4" s="9">
        <v>3</v>
      </c>
      <c r="D4" s="9" t="s">
        <v>32</v>
      </c>
      <c r="E4" s="22" t="s">
        <v>33</v>
      </c>
      <c r="F4" s="11"/>
      <c r="G4" s="12" t="s">
        <v>34</v>
      </c>
      <c r="H4" s="13" t="s">
        <v>23</v>
      </c>
      <c r="I4" s="13" t="s">
        <v>35</v>
      </c>
      <c r="J4" s="14">
        <f>IF($H4='[1]Data source'!$C$10,'[1]Data source'!$D$10,IF($H4='[1]Data source'!$C$11,'[1]Data source'!$D$11,IF($H4='[1]Data source'!$C$12,'[1]Data source'!$D$12,IF($H4='[1]Data source'!$C$13,'[1]Data source'!$D$13,IF($H4='[1]Data source'!$C$14,'[1]Data source'!$D$14,0)))))*IF($I4='[1]Data source'!$C$19,'[1]Data source'!$D$19,IF($I4='[1]Data source'!$C$20,'[1]Data source'!$D$20,IF($I4='[1]Data source'!$C$21,'[1]Data source'!$D$21,IF($I4='[1]Data source'!$C$22,'[1]Data source'!$D$22,IF($H4='[1]Data source'!$C$23,'[1]Data source'!$D$23,0)))))</f>
        <v>20</v>
      </c>
      <c r="K4" s="15" t="str">
        <f t="shared" si="0"/>
        <v>Unacceptable</v>
      </c>
      <c r="L4" s="16" t="s">
        <v>36</v>
      </c>
      <c r="M4" s="13" t="s">
        <v>26</v>
      </c>
      <c r="N4" s="17">
        <f>(1-IF($M4='[1]Data source'!$C$27,'[1]Data source'!$D$27,IF($M4='[1]Data source'!$C$28,'[1]Data source'!$D$28,IF($M4='[1]Data source'!$C$29,'[1]Data source'!$D$29,IF($M4='[1]Data source'!$C$30,'[1]Data source'!$D$30,0)))))*J4</f>
        <v>16</v>
      </c>
      <c r="O4" s="16"/>
      <c r="P4" s="18"/>
      <c r="Q4" s="18"/>
      <c r="R4" s="18"/>
      <c r="S4" s="19"/>
      <c r="T4" s="20"/>
    </row>
    <row r="5" spans="2:20" s="21" customFormat="1" ht="112.5" x14ac:dyDescent="0.2">
      <c r="B5" s="8"/>
      <c r="C5" s="9">
        <v>4</v>
      </c>
      <c r="D5" s="9" t="s">
        <v>37</v>
      </c>
      <c r="E5" s="22" t="s">
        <v>38</v>
      </c>
      <c r="F5" s="11"/>
      <c r="G5" s="19" t="s">
        <v>39</v>
      </c>
      <c r="H5" s="13" t="s">
        <v>40</v>
      </c>
      <c r="I5" s="13" t="s">
        <v>41</v>
      </c>
      <c r="J5" s="14">
        <f>IF($H5='[1]Data source'!$C$10,'[1]Data source'!$D$10,IF($H5='[1]Data source'!$C$11,'[1]Data source'!$D$11,IF($H5='[1]Data source'!$C$12,'[1]Data source'!$D$12,IF($H5='[1]Data source'!$C$13,'[1]Data source'!$D$13,IF($H5='[1]Data source'!$C$14,'[1]Data source'!$D$14,0)))))*IF($I5='[1]Data source'!$C$19,'[1]Data source'!$D$19,IF($I5='[1]Data source'!$C$20,'[1]Data source'!$D$20,IF($I5='[1]Data source'!$C$21,'[1]Data source'!$D$21,IF($I5='[1]Data source'!$C$22,'[1]Data source'!$D$22,IF($H5='[1]Data source'!$C$23,'[1]Data source'!$D$23,0)))))</f>
        <v>20</v>
      </c>
      <c r="K5" s="15" t="str">
        <f t="shared" si="0"/>
        <v>Unacceptable</v>
      </c>
      <c r="L5" s="16" t="s">
        <v>42</v>
      </c>
      <c r="M5" s="13" t="s">
        <v>26</v>
      </c>
      <c r="N5" s="17">
        <f>(1-IF($M5='[1]Data source'!$C$27,'[1]Data source'!$D$27,IF($M5='[1]Data source'!$C$28,'[1]Data source'!$D$28,IF($M5='[1]Data source'!$C$29,'[1]Data source'!$D$29,IF($M5='[1]Data source'!$C$30,'[1]Data source'!$D$30,0)))))*J5</f>
        <v>16</v>
      </c>
      <c r="O5" s="16"/>
      <c r="P5" s="18"/>
      <c r="Q5" s="18"/>
      <c r="R5" s="18"/>
      <c r="S5" s="19"/>
      <c r="T5" s="20"/>
    </row>
    <row r="6" spans="2:20" s="21" customFormat="1" ht="67.5" x14ac:dyDescent="0.2">
      <c r="B6" s="8"/>
      <c r="C6" s="9">
        <v>5</v>
      </c>
      <c r="D6" s="9" t="s">
        <v>43</v>
      </c>
      <c r="E6" s="22" t="s">
        <v>44</v>
      </c>
      <c r="F6" s="11"/>
      <c r="G6" s="19" t="s">
        <v>45</v>
      </c>
      <c r="H6" s="13" t="s">
        <v>46</v>
      </c>
      <c r="I6" s="13" t="s">
        <v>30</v>
      </c>
      <c r="J6" s="14">
        <f>IF($H6='[1]Data source'!$C$10,'[1]Data source'!$D$10,IF($H6='[1]Data source'!$C$11,'[1]Data source'!$D$11,IF($H6='[1]Data source'!$C$12,'[1]Data source'!$D$12,IF($H6='[1]Data source'!$C$13,'[1]Data source'!$D$13,IF($H6='[1]Data source'!$C$14,'[1]Data source'!$D$14,0)))))*IF($I6='[1]Data source'!$C$19,'[1]Data source'!$D$19,IF($I6='[1]Data source'!$C$20,'[1]Data source'!$D$20,IF($I6='[1]Data source'!$C$21,'[1]Data source'!$D$21,IF($I6='[1]Data source'!$C$22,'[1]Data source'!$D$22,IF($H6='[1]Data source'!$C$23,'[1]Data source'!$D$23,0)))))</f>
        <v>9</v>
      </c>
      <c r="K6" s="15" t="str">
        <f t="shared" si="0"/>
        <v>Action Required</v>
      </c>
      <c r="L6" s="16" t="s">
        <v>47</v>
      </c>
      <c r="M6" s="13" t="s">
        <v>48</v>
      </c>
      <c r="N6" s="17">
        <f>(1-IF($M6='[1]Data source'!$C$27,'[1]Data source'!$D$27,IF($M6='[1]Data source'!$C$28,'[1]Data source'!$D$28,IF($M6='[1]Data source'!$C$29,'[1]Data source'!$D$29,IF($M6='[1]Data source'!$C$30,'[1]Data source'!$D$30,0)))))*J6</f>
        <v>5.3999999999999995</v>
      </c>
      <c r="O6" s="16"/>
      <c r="P6" s="18"/>
      <c r="Q6" s="18"/>
      <c r="R6" s="18"/>
      <c r="S6" s="19"/>
      <c r="T6" s="20"/>
    </row>
    <row r="7" spans="2:20" s="21" customFormat="1" ht="78.75" x14ac:dyDescent="0.2">
      <c r="B7" s="8"/>
      <c r="C7" s="9">
        <v>6</v>
      </c>
      <c r="D7" s="9" t="s">
        <v>49</v>
      </c>
      <c r="E7" s="22" t="s">
        <v>50</v>
      </c>
      <c r="F7" s="11"/>
      <c r="G7" s="19" t="s">
        <v>51</v>
      </c>
      <c r="H7" s="13" t="s">
        <v>46</v>
      </c>
      <c r="I7" s="13" t="s">
        <v>41</v>
      </c>
      <c r="J7" s="14">
        <f>IF($H7='[1]Data source'!$C$10,'[1]Data source'!$D$10,IF($H7='[1]Data source'!$C$11,'[1]Data source'!$D$11,IF($H7='[1]Data source'!$C$12,'[1]Data source'!$D$12,IF($H7='[1]Data source'!$C$13,'[1]Data source'!$D$13,IF($H7='[1]Data source'!$C$14,'[1]Data source'!$D$14,0)))))*IF($I7='[1]Data source'!$C$19,'[1]Data source'!$D$19,IF($I7='[1]Data source'!$C$20,'[1]Data source'!$D$20,IF($I7='[1]Data source'!$C$21,'[1]Data source'!$D$21,IF($I7='[1]Data source'!$C$22,'[1]Data source'!$D$22,IF($H7='[1]Data source'!$C$23,'[1]Data source'!$D$23,0)))))</f>
        <v>12</v>
      </c>
      <c r="K7" s="15" t="str">
        <f t="shared" si="0"/>
        <v>Action Required</v>
      </c>
      <c r="L7" s="16" t="s">
        <v>52</v>
      </c>
      <c r="M7" s="13" t="s">
        <v>26</v>
      </c>
      <c r="N7" s="17">
        <f>(1-IF($M7='[1]Data source'!$C$27,'[1]Data source'!$D$27,IF($M7='[1]Data source'!$C$28,'[1]Data source'!$D$28,IF($M7='[1]Data source'!$C$29,'[1]Data source'!$D$29,IF($M7='[1]Data source'!$C$30,'[1]Data source'!$D$30,0)))))*J7</f>
        <v>9.6000000000000014</v>
      </c>
      <c r="O7" s="16"/>
      <c r="P7" s="18"/>
      <c r="Q7" s="18"/>
      <c r="R7" s="18"/>
      <c r="S7" s="19"/>
      <c r="T7" s="20"/>
    </row>
    <row r="8" spans="2:20" s="21" customFormat="1" ht="112.5" x14ac:dyDescent="0.2">
      <c r="B8" s="8"/>
      <c r="C8" s="9">
        <v>7</v>
      </c>
      <c r="D8" s="9" t="s">
        <v>53</v>
      </c>
      <c r="E8" s="22" t="s">
        <v>54</v>
      </c>
      <c r="F8" s="11"/>
      <c r="G8" s="12" t="s">
        <v>55</v>
      </c>
      <c r="H8" s="13" t="s">
        <v>40</v>
      </c>
      <c r="I8" s="13" t="s">
        <v>35</v>
      </c>
      <c r="J8" s="14">
        <f>IF($H8='[1]Data source'!$C$10,'[1]Data source'!$D$10,IF($H8='[1]Data source'!$C$11,'[1]Data source'!$D$11,IF($H8='[1]Data source'!$C$12,'[1]Data source'!$D$12,IF($H8='[1]Data source'!$C$13,'[1]Data source'!$D$13,IF($H8='[1]Data source'!$C$14,'[1]Data source'!$D$14,0)))))*IF($I8='[1]Data source'!$C$19,'[1]Data source'!$D$19,IF($I8='[1]Data source'!$C$20,'[1]Data source'!$D$20,IF($I8='[1]Data source'!$C$21,'[1]Data source'!$D$21,IF($I8='[1]Data source'!$C$22,'[1]Data source'!$D$22,IF($H8='[1]Data source'!$C$23,'[1]Data source'!$D$23,0)))))</f>
        <v>25</v>
      </c>
      <c r="K8" s="15" t="str">
        <f t="shared" si="0"/>
        <v>Unacceptable</v>
      </c>
      <c r="L8" s="16" t="s">
        <v>56</v>
      </c>
      <c r="M8" s="13" t="s">
        <v>26</v>
      </c>
      <c r="N8" s="17">
        <f>(1-IF($M8='[1]Data source'!$C$27,'[1]Data source'!$D$27,IF($M8='[1]Data source'!$C$28,'[1]Data source'!$D$28,IF($M8='[1]Data source'!$C$29,'[1]Data source'!$D$29,IF($M8='[1]Data source'!$C$30,'[1]Data source'!$D$30,0)))))*J8</f>
        <v>20</v>
      </c>
      <c r="O8" s="16"/>
      <c r="P8" s="18"/>
      <c r="Q8" s="18"/>
      <c r="R8" s="18"/>
      <c r="S8" s="19"/>
      <c r="T8" s="20"/>
    </row>
    <row r="9" spans="2:20" s="21" customFormat="1" ht="67.5" x14ac:dyDescent="0.2">
      <c r="B9" s="8"/>
      <c r="C9" s="9">
        <v>8</v>
      </c>
      <c r="D9" s="9" t="s">
        <v>57</v>
      </c>
      <c r="E9" s="22" t="s">
        <v>58</v>
      </c>
      <c r="F9" s="11"/>
      <c r="G9" s="12" t="s">
        <v>59</v>
      </c>
      <c r="H9" s="13" t="s">
        <v>23</v>
      </c>
      <c r="I9" s="13" t="s">
        <v>41</v>
      </c>
      <c r="J9" s="14">
        <f>IF($H9='[1]Data source'!$C$10,'[1]Data source'!$D$10,IF($H9='[1]Data source'!$C$11,'[1]Data source'!$D$11,IF($H9='[1]Data source'!$C$12,'[1]Data source'!$D$12,IF($H9='[1]Data source'!$C$13,'[1]Data source'!$D$13,IF($H9='[1]Data source'!$C$14,'[1]Data source'!$D$14,0)))))*IF($I9='[1]Data source'!$C$19,'[1]Data source'!$D$19,IF($I9='[1]Data source'!$C$20,'[1]Data source'!$D$20,IF($I9='[1]Data source'!$C$21,'[1]Data source'!$D$21,IF($I9='[1]Data source'!$C$22,'[1]Data source'!$D$22,IF($H9='[1]Data source'!$C$23,'[1]Data source'!$D$23,0)))))</f>
        <v>16</v>
      </c>
      <c r="K9" s="15" t="str">
        <f t="shared" si="0"/>
        <v>Unacceptable</v>
      </c>
      <c r="L9" s="16" t="s">
        <v>60</v>
      </c>
      <c r="M9" s="13" t="s">
        <v>48</v>
      </c>
      <c r="N9" s="17">
        <f>(1-IF($M9='[1]Data source'!$C$27,'[1]Data source'!$D$27,IF($M9='[1]Data source'!$C$28,'[1]Data source'!$D$28,IF($M9='[1]Data source'!$C$29,'[1]Data source'!$D$29,IF($M9='[1]Data source'!$C$30,'[1]Data source'!$D$30,0)))))*J9</f>
        <v>9.6</v>
      </c>
      <c r="O9" s="16"/>
      <c r="P9" s="18"/>
      <c r="Q9" s="18"/>
      <c r="R9" s="18"/>
      <c r="S9" s="19"/>
      <c r="T9" s="20"/>
    </row>
    <row r="10" spans="2:20" s="21" customFormat="1" ht="292.5" x14ac:dyDescent="0.2">
      <c r="B10" s="24" t="s">
        <v>61</v>
      </c>
      <c r="C10" s="9">
        <v>9</v>
      </c>
      <c r="D10" s="9" t="s">
        <v>62</v>
      </c>
      <c r="E10" s="12" t="s">
        <v>63</v>
      </c>
      <c r="F10" s="11" t="s">
        <v>64</v>
      </c>
      <c r="G10" s="12" t="s">
        <v>65</v>
      </c>
      <c r="H10" s="13" t="s">
        <v>40</v>
      </c>
      <c r="I10" s="13" t="s">
        <v>35</v>
      </c>
      <c r="J10" s="14">
        <f>IF($H10='[1]Data source'!$C$10,'[1]Data source'!$D$10,IF($H10='[1]Data source'!$C$11,'[1]Data source'!$D$11,IF($H10='[1]Data source'!$C$12,'[1]Data source'!$D$12,IF($H10='[1]Data source'!$C$13,'[1]Data source'!$D$13,IF($H10='[1]Data source'!$C$14,'[1]Data source'!$D$14,0)))))*IF($I10='[1]Data source'!$C$19,'[1]Data source'!$D$19,IF($I10='[1]Data source'!$C$20,'[1]Data source'!$D$20,IF($I10='[1]Data source'!$C$21,'[1]Data source'!$D$21,IF($I10='[1]Data source'!$C$22,'[1]Data source'!$D$22,IF($H10='[1]Data source'!$C$23,'[1]Data source'!$D$23,0)))))</f>
        <v>25</v>
      </c>
      <c r="K10" s="15" t="str">
        <f t="shared" si="0"/>
        <v>Unacceptable</v>
      </c>
      <c r="L10" s="22" t="s">
        <v>66</v>
      </c>
      <c r="M10" s="13" t="s">
        <v>26</v>
      </c>
      <c r="N10" s="17">
        <f>(1-IF($M10='[1]Data source'!$C$27,'[1]Data source'!$D$27,IF($M10='[1]Data source'!$C$28,'[1]Data source'!$D$28,IF($M10='[1]Data source'!$C$29,'[1]Data source'!$D$29,IF($M10='[1]Data source'!$C$30,'[1]Data source'!$D$30,0)))))*J10</f>
        <v>20</v>
      </c>
      <c r="O10" s="16"/>
      <c r="P10" s="22"/>
      <c r="Q10" s="18"/>
      <c r="R10" s="18"/>
      <c r="S10" s="25"/>
      <c r="T10" s="20"/>
    </row>
    <row r="11" spans="2:20" s="21" customFormat="1" ht="112.5" x14ac:dyDescent="0.2">
      <c r="B11" s="24"/>
      <c r="C11" s="9">
        <v>10</v>
      </c>
      <c r="D11" s="9" t="s">
        <v>67</v>
      </c>
      <c r="E11" s="10" t="s">
        <v>68</v>
      </c>
      <c r="F11" s="11"/>
      <c r="G11" s="12" t="s">
        <v>69</v>
      </c>
      <c r="H11" s="13" t="s">
        <v>23</v>
      </c>
      <c r="I11" s="13" t="s">
        <v>30</v>
      </c>
      <c r="J11" s="14">
        <f>IF($H11='[1]Data source'!$C$10,'[1]Data source'!$D$10,IF($H11='[1]Data source'!$C$11,'[1]Data source'!$D$11,IF($H11='[1]Data source'!$C$12,'[1]Data source'!$D$12,IF($H11='[1]Data source'!$C$13,'[1]Data source'!$D$13,IF($H11='[1]Data source'!$C$14,'[1]Data source'!$D$14,0)))))*IF($I11='[1]Data source'!$C$19,'[1]Data source'!$D$19,IF($I11='[1]Data source'!$C$20,'[1]Data source'!$D$20,IF($I11='[1]Data source'!$C$21,'[1]Data source'!$D$21,IF($I11='[1]Data source'!$C$22,'[1]Data source'!$D$22,IF($H11='[1]Data source'!$C$23,'[1]Data source'!$D$23,0)))))</f>
        <v>12</v>
      </c>
      <c r="K11" s="15" t="str">
        <f t="shared" si="0"/>
        <v>Action Required</v>
      </c>
      <c r="L11" s="19" t="s">
        <v>70</v>
      </c>
      <c r="M11" s="13" t="s">
        <v>26</v>
      </c>
      <c r="N11" s="17">
        <f>(1-IF($M11='[1]Data source'!$C$27,'[1]Data source'!$D$27,IF($M11='[1]Data source'!$C$28,'[1]Data source'!$D$28,IF($M11='[1]Data source'!$C$29,'[1]Data source'!$D$29,IF($M11='[1]Data source'!$C$30,'[1]Data source'!$D$30,0)))))*J11</f>
        <v>9.6000000000000014</v>
      </c>
      <c r="O11" s="16"/>
      <c r="P11" s="22"/>
      <c r="Q11" s="18"/>
      <c r="R11" s="18"/>
      <c r="S11" s="25"/>
      <c r="T11" s="20"/>
    </row>
    <row r="12" spans="2:20" s="21" customFormat="1" ht="101.25" x14ac:dyDescent="0.2">
      <c r="B12" s="24"/>
      <c r="C12" s="9">
        <v>11</v>
      </c>
      <c r="D12" s="9" t="s">
        <v>71</v>
      </c>
      <c r="E12" s="12" t="s">
        <v>72</v>
      </c>
      <c r="F12" s="11"/>
      <c r="G12" s="12" t="s">
        <v>73</v>
      </c>
      <c r="H12" s="13" t="s">
        <v>40</v>
      </c>
      <c r="I12" s="13" t="s">
        <v>30</v>
      </c>
      <c r="J12" s="14">
        <f>IF($H12='[1]Data source'!$C$10,'[1]Data source'!$D$10,IF($H12='[1]Data source'!$C$11,'[1]Data source'!$D$11,IF($H12='[1]Data source'!$C$12,'[1]Data source'!$D$12,IF($H12='[1]Data source'!$C$13,'[1]Data source'!$D$13,IF($H12='[1]Data source'!$C$14,'[1]Data source'!$D$14,0)))))*IF($I12='[1]Data source'!$C$19,'[1]Data source'!$D$19,IF($I12='[1]Data source'!$C$20,'[1]Data source'!$D$20,IF($I12='[1]Data source'!$C$21,'[1]Data source'!$D$21,IF($I12='[1]Data source'!$C$22,'[1]Data source'!$D$22,IF($H12='[1]Data source'!$C$23,'[1]Data source'!$D$23,0)))))</f>
        <v>15</v>
      </c>
      <c r="K12" s="15" t="str">
        <f t="shared" si="0"/>
        <v>Unacceptable</v>
      </c>
      <c r="L12" s="19" t="s">
        <v>74</v>
      </c>
      <c r="M12" s="13" t="s">
        <v>26</v>
      </c>
      <c r="N12" s="17">
        <f>(1-IF($M12='[1]Data source'!$C$27,'[1]Data source'!$D$27,IF($M12='[1]Data source'!$C$28,'[1]Data source'!$D$28,IF($M12='[1]Data source'!$C$29,'[1]Data source'!$D$29,IF($M12='[1]Data source'!$C$30,'[1]Data source'!$D$30,0)))))*J12</f>
        <v>12</v>
      </c>
      <c r="O12" s="16"/>
      <c r="P12" s="22"/>
      <c r="Q12" s="18"/>
      <c r="R12" s="18"/>
      <c r="S12" s="19"/>
      <c r="T12" s="26"/>
    </row>
    <row r="13" spans="2:20" s="21" customFormat="1" ht="56.25" x14ac:dyDescent="0.2">
      <c r="B13" s="24"/>
      <c r="C13" s="9">
        <v>12</v>
      </c>
      <c r="D13" s="9" t="s">
        <v>75</v>
      </c>
      <c r="E13" s="27" t="s">
        <v>76</v>
      </c>
      <c r="F13" s="11"/>
      <c r="G13" s="12" t="s">
        <v>77</v>
      </c>
      <c r="H13" s="13" t="s">
        <v>23</v>
      </c>
      <c r="I13" s="13" t="s">
        <v>41</v>
      </c>
      <c r="J13" s="14">
        <f>IF($H13='[1]Data source'!$C$10,'[1]Data source'!$D$10,IF($H13='[1]Data source'!$C$11,'[1]Data source'!$D$11,IF($H13='[1]Data source'!$C$12,'[1]Data source'!$D$12,IF($H13='[1]Data source'!$C$13,'[1]Data source'!$D$13,IF($H13='[1]Data source'!$C$14,'[1]Data source'!$D$14,0)))))*IF($I13='[1]Data source'!$C$19,'[1]Data source'!$D$19,IF($I13='[1]Data source'!$C$20,'[1]Data source'!$D$20,IF($I13='[1]Data source'!$C$21,'[1]Data source'!$D$21,IF($I13='[1]Data source'!$C$22,'[1]Data source'!$D$22,IF($H13='[1]Data source'!$C$23,'[1]Data source'!$D$23,0)))))</f>
        <v>16</v>
      </c>
      <c r="K13" s="15" t="str">
        <f t="shared" si="0"/>
        <v>Unacceptable</v>
      </c>
      <c r="L13" s="19" t="s">
        <v>78</v>
      </c>
      <c r="M13" s="13" t="s">
        <v>48</v>
      </c>
      <c r="N13" s="17">
        <f>(1-IF($M13='[1]Data source'!$C$27,'[1]Data source'!$D$27,IF($M13='[1]Data source'!$C$28,'[1]Data source'!$D$28,IF($M13='[1]Data source'!$C$29,'[1]Data source'!$D$29,IF($M13='[1]Data source'!$C$30,'[1]Data source'!$D$30,0)))))*J13</f>
        <v>9.6</v>
      </c>
      <c r="O13" s="16"/>
      <c r="P13" s="22"/>
      <c r="Q13" s="18"/>
      <c r="R13" s="18"/>
      <c r="S13" s="19"/>
      <c r="T13" s="26"/>
    </row>
    <row r="14" spans="2:20" s="21" customFormat="1" ht="90" x14ac:dyDescent="0.2">
      <c r="B14" s="24"/>
      <c r="C14" s="9">
        <v>13</v>
      </c>
      <c r="D14" s="9" t="s">
        <v>79</v>
      </c>
      <c r="E14" s="27" t="s">
        <v>80</v>
      </c>
      <c r="F14" s="11"/>
      <c r="G14" s="12" t="s">
        <v>81</v>
      </c>
      <c r="H14" s="13" t="s">
        <v>40</v>
      </c>
      <c r="I14" s="13" t="s">
        <v>35</v>
      </c>
      <c r="J14" s="14">
        <f>IF($H14='[1]Data source'!$C$10,'[1]Data source'!$D$10,IF($H14='[1]Data source'!$C$11,'[1]Data source'!$D$11,IF($H14='[1]Data source'!$C$12,'[1]Data source'!$D$12,IF($H14='[1]Data source'!$C$13,'[1]Data source'!$D$13,IF($H14='[1]Data source'!$C$14,'[1]Data source'!$D$14,0)))))*IF($I14='[1]Data source'!$C$19,'[1]Data source'!$D$19,IF($I14='[1]Data source'!$C$20,'[1]Data source'!$D$20,IF($I14='[1]Data source'!$C$21,'[1]Data source'!$D$21,IF($I14='[1]Data source'!$C$22,'[1]Data source'!$D$22,IF($H14='[1]Data source'!$C$23,'[1]Data source'!$D$23,0)))))</f>
        <v>25</v>
      </c>
      <c r="K14" s="15" t="str">
        <f t="shared" si="0"/>
        <v>Unacceptable</v>
      </c>
      <c r="L14" s="19" t="s">
        <v>82</v>
      </c>
      <c r="M14" s="13" t="s">
        <v>26</v>
      </c>
      <c r="N14" s="17">
        <f>(1-IF($M14='[1]Data source'!$C$27,'[1]Data source'!$D$27,IF($M14='[1]Data source'!$C$28,'[1]Data source'!$D$28,IF($M14='[1]Data source'!$C$29,'[1]Data source'!$D$29,IF($M14='[1]Data source'!$C$30,'[1]Data source'!$D$30,0)))))*J14</f>
        <v>20</v>
      </c>
      <c r="O14" s="16"/>
      <c r="P14" s="22"/>
      <c r="Q14" s="18"/>
      <c r="R14" s="18"/>
      <c r="S14" s="19"/>
      <c r="T14" s="28"/>
    </row>
    <row r="15" spans="2:20" s="21" customFormat="1" ht="123.75" x14ac:dyDescent="0.2">
      <c r="B15" s="24"/>
      <c r="C15" s="9">
        <v>14</v>
      </c>
      <c r="D15" s="9" t="s">
        <v>83</v>
      </c>
      <c r="E15" s="19" t="s">
        <v>84</v>
      </c>
      <c r="F15" s="11"/>
      <c r="G15" s="12" t="s">
        <v>85</v>
      </c>
      <c r="H15" s="13" t="s">
        <v>23</v>
      </c>
      <c r="I15" s="13" t="s">
        <v>41</v>
      </c>
      <c r="J15" s="14">
        <f>IF($H15='[1]Data source'!$C$10,'[1]Data source'!$D$10,IF($H15='[1]Data source'!$C$11,'[1]Data source'!$D$11,IF($H15='[1]Data source'!$C$12,'[1]Data source'!$D$12,IF($H15='[1]Data source'!$C$13,'[1]Data source'!$D$13,IF($H15='[1]Data source'!$C$14,'[1]Data source'!$D$14,0)))))*IF($I15='[1]Data source'!$C$19,'[1]Data source'!$D$19,IF($I15='[1]Data source'!$C$20,'[1]Data source'!$D$20,IF($I15='[1]Data source'!$C$21,'[1]Data source'!$D$21,IF($I15='[1]Data source'!$C$22,'[1]Data source'!$D$22,IF($H15='[1]Data source'!$C$23,'[1]Data source'!$D$23,0)))))</f>
        <v>16</v>
      </c>
      <c r="K15" s="15" t="str">
        <f t="shared" si="0"/>
        <v>Unacceptable</v>
      </c>
      <c r="L15" s="19" t="s">
        <v>86</v>
      </c>
      <c r="M15" s="13" t="s">
        <v>26</v>
      </c>
      <c r="N15" s="17">
        <f>(1-IF($M15='[1]Data source'!$C$27,'[1]Data source'!$D$27,IF($M15='[1]Data source'!$C$28,'[1]Data source'!$D$28,IF($M15='[1]Data source'!$C$29,'[1]Data source'!$D$29,IF($M15='[1]Data source'!$C$30,'[1]Data source'!$D$30,0)))))*J15</f>
        <v>12.8</v>
      </c>
      <c r="O15" s="16"/>
      <c r="P15" s="22"/>
      <c r="Q15" s="18"/>
      <c r="R15" s="18"/>
      <c r="S15" s="19"/>
      <c r="T15" s="28"/>
    </row>
    <row r="16" spans="2:20" s="21" customFormat="1" ht="78.75" x14ac:dyDescent="0.2">
      <c r="B16" s="24"/>
      <c r="C16" s="9">
        <v>15</v>
      </c>
      <c r="D16" s="9" t="s">
        <v>87</v>
      </c>
      <c r="E16" s="29" t="s">
        <v>88</v>
      </c>
      <c r="F16" s="11"/>
      <c r="G16" s="12" t="s">
        <v>89</v>
      </c>
      <c r="H16" s="13" t="s">
        <v>23</v>
      </c>
      <c r="I16" s="13" t="s">
        <v>41</v>
      </c>
      <c r="J16" s="14">
        <f>IF($H16='[1]Data source'!$C$10,'[1]Data source'!$D$10,IF($H16='[1]Data source'!$C$11,'[1]Data source'!$D$11,IF($H16='[1]Data source'!$C$12,'[1]Data source'!$D$12,IF($H16='[1]Data source'!$C$13,'[1]Data source'!$D$13,IF($H16='[1]Data source'!$C$14,'[1]Data source'!$D$14,0)))))*IF($I16='[1]Data source'!$C$19,'[1]Data source'!$D$19,IF($I16='[1]Data source'!$C$20,'[1]Data source'!$D$20,IF($I16='[1]Data source'!$C$21,'[1]Data source'!$D$21,IF($I16='[1]Data source'!$C$22,'[1]Data source'!$D$22,IF($H16='[1]Data source'!$C$23,'[1]Data source'!$D$23,0)))))</f>
        <v>16</v>
      </c>
      <c r="K16" s="15" t="str">
        <f t="shared" si="0"/>
        <v>Unacceptable</v>
      </c>
      <c r="L16" s="12" t="s">
        <v>90</v>
      </c>
      <c r="M16" s="13" t="s">
        <v>26</v>
      </c>
      <c r="N16" s="17">
        <f>(1-IF($M16='[1]Data source'!$C$27,'[1]Data source'!$D$27,IF($M16='[1]Data source'!$C$28,'[1]Data source'!$D$28,IF($M16='[1]Data source'!$C$29,'[1]Data source'!$D$29,IF($M16='[1]Data source'!$C$30,'[1]Data source'!$D$30,0)))))*J16</f>
        <v>12.8</v>
      </c>
      <c r="O16" s="16"/>
      <c r="P16" s="22"/>
      <c r="Q16" s="18"/>
      <c r="R16" s="18"/>
      <c r="S16" s="19"/>
      <c r="T16" s="28"/>
    </row>
    <row r="17" spans="2:20" s="21" customFormat="1" ht="168.75" x14ac:dyDescent="0.2">
      <c r="B17" s="24" t="s">
        <v>91</v>
      </c>
      <c r="C17" s="9">
        <v>16</v>
      </c>
      <c r="D17" s="9" t="s">
        <v>92</v>
      </c>
      <c r="E17" s="29" t="s">
        <v>93</v>
      </c>
      <c r="F17" s="11" t="s">
        <v>94</v>
      </c>
      <c r="G17" s="12" t="s">
        <v>95</v>
      </c>
      <c r="H17" s="13" t="s">
        <v>23</v>
      </c>
      <c r="I17" s="13" t="s">
        <v>41</v>
      </c>
      <c r="J17" s="14">
        <f>IF($H17='[1]Data source'!$C$10,'[1]Data source'!$D$10,IF($H17='[1]Data source'!$C$11,'[1]Data source'!$D$11,IF($H17='[1]Data source'!$C$12,'[1]Data source'!$D$12,IF($H17='[1]Data source'!$C$13,'[1]Data source'!$D$13,IF($H17='[1]Data source'!$C$14,'[1]Data source'!$D$14,0)))))*IF($I17='[1]Data source'!$C$19,'[1]Data source'!$D$19,IF($I17='[1]Data source'!$C$20,'[1]Data source'!$D$20,IF($I17='[1]Data source'!$C$21,'[1]Data source'!$D$21,IF($I17='[1]Data source'!$C$22,'[1]Data source'!$D$22,IF($H17='[1]Data source'!$C$23,'[1]Data source'!$D$23,0)))))</f>
        <v>16</v>
      </c>
      <c r="K17" s="15" t="str">
        <f t="shared" si="0"/>
        <v>Unacceptable</v>
      </c>
      <c r="L17" s="12" t="s">
        <v>96</v>
      </c>
      <c r="M17" s="13" t="s">
        <v>48</v>
      </c>
      <c r="N17" s="17">
        <f>(1-IF($M17='[1]Data source'!$C$27,'[1]Data source'!$D$27,IF($M17='[1]Data source'!$C$28,'[1]Data source'!$D$28,IF($M17='[1]Data source'!$C$29,'[1]Data source'!$D$29,IF($M17='[1]Data source'!$C$30,'[1]Data source'!$D$30,0)))))*J17</f>
        <v>9.6</v>
      </c>
      <c r="O17" s="16"/>
      <c r="P17" s="18"/>
      <c r="Q17" s="18"/>
      <c r="R17" s="18"/>
      <c r="S17" s="19"/>
      <c r="T17" s="28"/>
    </row>
    <row r="18" spans="2:20" s="21" customFormat="1" ht="157.5" x14ac:dyDescent="0.2">
      <c r="B18" s="24"/>
      <c r="C18" s="9">
        <v>17</v>
      </c>
      <c r="D18" s="9" t="s">
        <v>97</v>
      </c>
      <c r="E18" s="29" t="s">
        <v>98</v>
      </c>
      <c r="F18" s="11"/>
      <c r="G18" s="16" t="s">
        <v>99</v>
      </c>
      <c r="H18" s="13" t="s">
        <v>23</v>
      </c>
      <c r="I18" s="13" t="s">
        <v>41</v>
      </c>
      <c r="J18" s="14">
        <f>IF($H18='[1]Data source'!$C$10,'[1]Data source'!$D$10,IF($H18='[1]Data source'!$C$11,'[1]Data source'!$D$11,IF($H18='[1]Data source'!$C$12,'[1]Data source'!$D$12,IF($H18='[1]Data source'!$C$13,'[1]Data source'!$D$13,IF($H18='[1]Data source'!$C$14,'[1]Data source'!$D$14,0)))))*IF($I18='[1]Data source'!$C$19,'[1]Data source'!$D$19,IF($I18='[1]Data source'!$C$20,'[1]Data source'!$D$20,IF($I18='[1]Data source'!$C$21,'[1]Data source'!$D$21,IF($I18='[1]Data source'!$C$22,'[1]Data source'!$D$22,IF($H18='[1]Data source'!$C$23,'[1]Data source'!$D$23,0)))))</f>
        <v>16</v>
      </c>
      <c r="K18" s="15" t="str">
        <f t="shared" si="0"/>
        <v>Unacceptable</v>
      </c>
      <c r="L18" s="12" t="s">
        <v>100</v>
      </c>
      <c r="M18" s="13" t="s">
        <v>48</v>
      </c>
      <c r="N18" s="17">
        <f>(1-IF($M18='[1]Data source'!$C$27,'[1]Data source'!$D$27,IF($M18='[1]Data source'!$C$28,'[1]Data source'!$D$28,IF($M18='[1]Data source'!$C$29,'[1]Data source'!$D$29,IF($M18='[1]Data source'!$C$30,'[1]Data source'!$D$30,0)))))*J18</f>
        <v>9.6</v>
      </c>
      <c r="O18" s="16"/>
      <c r="P18" s="18"/>
      <c r="Q18" s="18"/>
      <c r="R18" s="18"/>
      <c r="S18" s="19"/>
      <c r="T18" s="28"/>
    </row>
    <row r="19" spans="2:20" s="21" customFormat="1" ht="112.5" x14ac:dyDescent="0.2">
      <c r="B19" s="24"/>
      <c r="C19" s="9">
        <v>18</v>
      </c>
      <c r="D19" s="9" t="s">
        <v>101</v>
      </c>
      <c r="E19" s="29" t="s">
        <v>102</v>
      </c>
      <c r="F19" s="11"/>
      <c r="G19" s="12" t="s">
        <v>103</v>
      </c>
      <c r="H19" s="13" t="s">
        <v>23</v>
      </c>
      <c r="I19" s="13" t="s">
        <v>41</v>
      </c>
      <c r="J19" s="14">
        <f>IF($H19='[1]Data source'!$C$10,'[1]Data source'!$D$10,IF($H19='[1]Data source'!$C$11,'[1]Data source'!$D$11,IF($H19='[1]Data source'!$C$12,'[1]Data source'!$D$12,IF($H19='[1]Data source'!$C$13,'[1]Data source'!$D$13,IF($H19='[1]Data source'!$C$14,'[1]Data source'!$D$14,0)))))*IF($I19='[1]Data source'!$C$19,'[1]Data source'!$D$19,IF($I19='[1]Data source'!$C$20,'[1]Data source'!$D$20,IF($I19='[1]Data source'!$C$21,'[1]Data source'!$D$21,IF($I19='[1]Data source'!$C$22,'[1]Data source'!$D$22,IF($H19='[1]Data source'!$C$23,'[1]Data source'!$D$23,0)))))</f>
        <v>16</v>
      </c>
      <c r="K19" s="15" t="str">
        <f t="shared" si="0"/>
        <v>Unacceptable</v>
      </c>
      <c r="L19" s="12" t="s">
        <v>104</v>
      </c>
      <c r="M19" s="13" t="s">
        <v>26</v>
      </c>
      <c r="N19" s="17">
        <f>(1-IF($M19='[1]Data source'!$C$27,'[1]Data source'!$D$27,IF($M19='[1]Data source'!$C$28,'[1]Data source'!$D$28,IF($M19='[1]Data source'!$C$29,'[1]Data source'!$D$29,IF($M19='[1]Data source'!$C$30,'[1]Data source'!$D$30,0)))))*J19</f>
        <v>12.8</v>
      </c>
      <c r="O19" s="16"/>
      <c r="P19" s="18"/>
      <c r="Q19" s="18"/>
      <c r="R19" s="18"/>
      <c r="S19" s="19"/>
      <c r="T19" s="28"/>
    </row>
    <row r="20" spans="2:20" s="21" customFormat="1" ht="135" x14ac:dyDescent="0.2">
      <c r="B20" s="24"/>
      <c r="C20" s="9">
        <v>19</v>
      </c>
      <c r="D20" s="9" t="s">
        <v>105</v>
      </c>
      <c r="E20" s="19" t="s">
        <v>106</v>
      </c>
      <c r="F20" s="11"/>
      <c r="G20" s="12" t="s">
        <v>107</v>
      </c>
      <c r="H20" s="13" t="s">
        <v>23</v>
      </c>
      <c r="I20" s="13" t="s">
        <v>41</v>
      </c>
      <c r="J20" s="14">
        <f>IF($H20='[1]Data source'!$C$10,'[1]Data source'!$D$10,IF($H20='[1]Data source'!$C$11,'[1]Data source'!$D$11,IF($H20='[1]Data source'!$C$12,'[1]Data source'!$D$12,IF($H20='[1]Data source'!$C$13,'[1]Data source'!$D$13,IF($H20='[1]Data source'!$C$14,'[1]Data source'!$D$14,0)))))*IF($I20='[1]Data source'!$C$19,'[1]Data source'!$D$19,IF($I20='[1]Data source'!$C$20,'[1]Data source'!$D$20,IF($I20='[1]Data source'!$C$21,'[1]Data source'!$D$21,IF($I20='[1]Data source'!$C$22,'[1]Data source'!$D$22,IF($H20='[1]Data source'!$C$23,'[1]Data source'!$D$23,0)))))</f>
        <v>16</v>
      </c>
      <c r="K20" s="15" t="str">
        <f t="shared" si="0"/>
        <v>Unacceptable</v>
      </c>
      <c r="L20" s="12" t="s">
        <v>108</v>
      </c>
      <c r="M20" s="13" t="s">
        <v>26</v>
      </c>
      <c r="N20" s="17">
        <f>(1-IF($M20='[1]Data source'!$C$27,'[1]Data source'!$D$27,IF($M20='[1]Data source'!$C$28,'[1]Data source'!$D$28,IF($M20='[1]Data source'!$C$29,'[1]Data source'!$D$29,IF($M20='[1]Data source'!$C$30,'[1]Data source'!$D$30,0)))))*J20</f>
        <v>12.8</v>
      </c>
      <c r="O20" s="16"/>
      <c r="P20" s="18"/>
      <c r="Q20" s="18"/>
      <c r="R20" s="18"/>
      <c r="S20" s="19"/>
      <c r="T20" s="28"/>
    </row>
    <row r="21" spans="2:20" s="21" customFormat="1" ht="112.5" x14ac:dyDescent="0.2">
      <c r="B21" s="24"/>
      <c r="C21" s="9">
        <v>20</v>
      </c>
      <c r="D21" s="9" t="s">
        <v>109</v>
      </c>
      <c r="E21" s="19" t="s">
        <v>110</v>
      </c>
      <c r="F21" s="11"/>
      <c r="G21" s="12" t="s">
        <v>111</v>
      </c>
      <c r="H21" s="13" t="s">
        <v>23</v>
      </c>
      <c r="I21" s="13" t="s">
        <v>41</v>
      </c>
      <c r="J21" s="14">
        <f>IF($H21='[1]Data source'!$C$10,'[1]Data source'!$D$10,IF($H21='[1]Data source'!$C$11,'[1]Data source'!$D$11,IF($H21='[1]Data source'!$C$12,'[1]Data source'!$D$12,IF($H21='[1]Data source'!$C$13,'[1]Data source'!$D$13,IF($H21='[1]Data source'!$C$14,'[1]Data source'!$D$14,0)))))*IF($I21='[1]Data source'!$C$19,'[1]Data source'!$D$19,IF($I21='[1]Data source'!$C$20,'[1]Data source'!$D$20,IF($I21='[1]Data source'!$C$21,'[1]Data source'!$D$21,IF($I21='[1]Data source'!$C$22,'[1]Data source'!$D$22,IF($H21='[1]Data source'!$C$23,'[1]Data source'!$D$23,0)))))</f>
        <v>16</v>
      </c>
      <c r="K21" s="15" t="str">
        <f t="shared" si="0"/>
        <v>Unacceptable</v>
      </c>
      <c r="L21" s="12" t="s">
        <v>112</v>
      </c>
      <c r="M21" s="13" t="s">
        <v>48</v>
      </c>
      <c r="N21" s="17">
        <f>(1-IF($M21='[1]Data source'!$C$27,'[1]Data source'!$D$27,IF($M21='[1]Data source'!$C$28,'[1]Data source'!$D$28,IF($M21='[1]Data source'!$C$29,'[1]Data source'!$D$29,IF($M21='[1]Data source'!$C$30,'[1]Data source'!$D$30,0)))))*J21</f>
        <v>9.6</v>
      </c>
      <c r="O21" s="16"/>
      <c r="P21" s="18"/>
      <c r="Q21" s="18"/>
      <c r="R21" s="18"/>
      <c r="S21" s="19"/>
      <c r="T21" s="28"/>
    </row>
    <row r="22" spans="2:20" s="21" customFormat="1" ht="56.25" x14ac:dyDescent="0.2">
      <c r="B22" s="24"/>
      <c r="C22" s="9">
        <v>21</v>
      </c>
      <c r="D22" s="9" t="s">
        <v>113</v>
      </c>
      <c r="E22" s="29" t="s">
        <v>114</v>
      </c>
      <c r="F22" s="11"/>
      <c r="G22" s="12" t="s">
        <v>115</v>
      </c>
      <c r="H22" s="13" t="s">
        <v>23</v>
      </c>
      <c r="I22" s="13" t="s">
        <v>41</v>
      </c>
      <c r="J22" s="14">
        <f>IF($H22='[1]Data source'!$C$10,'[1]Data source'!$D$10,IF($H22='[1]Data source'!$C$11,'[1]Data source'!$D$11,IF($H22='[1]Data source'!$C$12,'[1]Data source'!$D$12,IF($H22='[1]Data source'!$C$13,'[1]Data source'!$D$13,IF($H22='[1]Data source'!$C$14,'[1]Data source'!$D$14,0)))))*IF($I22='[1]Data source'!$C$19,'[1]Data source'!$D$19,IF($I22='[1]Data source'!$C$20,'[1]Data source'!$D$20,IF($I22='[1]Data source'!$C$21,'[1]Data source'!$D$21,IF($I22='[1]Data source'!$C$22,'[1]Data source'!$D$22,IF($H22='[1]Data source'!$C$23,'[1]Data source'!$D$23,0)))))</f>
        <v>16</v>
      </c>
      <c r="K22" s="15" t="str">
        <f t="shared" si="0"/>
        <v>Unacceptable</v>
      </c>
      <c r="L22" s="27" t="s">
        <v>116</v>
      </c>
      <c r="M22" s="13" t="s">
        <v>26</v>
      </c>
      <c r="N22" s="17">
        <f>(1-IF($M22='[1]Data source'!$C$27,'[1]Data source'!$D$27,IF($M22='[1]Data source'!$C$28,'[1]Data source'!$D$28,IF($M22='[1]Data source'!$C$29,'[1]Data source'!$D$29,IF($M22='[1]Data source'!$C$30,'[1]Data source'!$D$30,0)))))*J22</f>
        <v>12.8</v>
      </c>
      <c r="O22" s="16"/>
      <c r="P22" s="18"/>
      <c r="Q22" s="18"/>
      <c r="R22" s="18"/>
      <c r="S22" s="19"/>
      <c r="T22" s="28"/>
    </row>
    <row r="23" spans="2:20" s="21" customFormat="1" ht="168.75" x14ac:dyDescent="0.2">
      <c r="B23" s="24"/>
      <c r="C23" s="9">
        <v>22</v>
      </c>
      <c r="D23" s="9" t="s">
        <v>117</v>
      </c>
      <c r="E23" s="19" t="s">
        <v>118</v>
      </c>
      <c r="F23" s="11"/>
      <c r="G23" s="12" t="s">
        <v>119</v>
      </c>
      <c r="H23" s="13" t="s">
        <v>23</v>
      </c>
      <c r="I23" s="13" t="s">
        <v>35</v>
      </c>
      <c r="J23" s="14">
        <f>IF($H23='[1]Data source'!$C$10,'[1]Data source'!$D$10,IF($H23='[1]Data source'!$C$11,'[1]Data source'!$D$11,IF($H23='[1]Data source'!$C$12,'[1]Data source'!$D$12,IF($H23='[1]Data source'!$C$13,'[1]Data source'!$D$13,IF($H23='[1]Data source'!$C$14,'[1]Data source'!$D$14,0)))))*IF($I23='[1]Data source'!$C$19,'[1]Data source'!$D$19,IF($I23='[1]Data source'!$C$20,'[1]Data source'!$D$20,IF($I23='[1]Data source'!$C$21,'[1]Data source'!$D$21,IF($I23='[1]Data source'!$C$22,'[1]Data source'!$D$22,IF($H23='[1]Data source'!$C$23,'[1]Data source'!$D$23,0)))))</f>
        <v>20</v>
      </c>
      <c r="K23" s="15" t="str">
        <f t="shared" si="0"/>
        <v>Unacceptable</v>
      </c>
      <c r="L23" s="30" t="s">
        <v>120</v>
      </c>
      <c r="M23" s="13" t="s">
        <v>26</v>
      </c>
      <c r="N23" s="17">
        <f>(1-IF($M23='[1]Data source'!$C$27,'[1]Data source'!$D$27,IF($M23='[1]Data source'!$C$28,'[1]Data source'!$D$28,IF($M23='[1]Data source'!$C$29,'[1]Data source'!$D$29,IF($M23='[1]Data source'!$C$30,'[1]Data source'!$D$30,0)))))*J23</f>
        <v>16</v>
      </c>
      <c r="O23" s="16"/>
      <c r="P23" s="18"/>
      <c r="Q23" s="18"/>
      <c r="R23" s="18"/>
      <c r="S23" s="19"/>
      <c r="T23" s="28"/>
    </row>
    <row r="24" spans="2:20" s="21" customFormat="1" ht="123.75" x14ac:dyDescent="0.2">
      <c r="B24" s="24"/>
      <c r="C24" s="9">
        <v>23</v>
      </c>
      <c r="D24" s="9" t="s">
        <v>121</v>
      </c>
      <c r="E24" s="29" t="s">
        <v>122</v>
      </c>
      <c r="F24" s="11"/>
      <c r="G24" s="12" t="s">
        <v>123</v>
      </c>
      <c r="H24" s="13" t="s">
        <v>23</v>
      </c>
      <c r="I24" s="13" t="s">
        <v>30</v>
      </c>
      <c r="J24" s="14">
        <f>IF($H24='[1]Data source'!$C$10,'[1]Data source'!$D$10,IF($H24='[1]Data source'!$C$11,'[1]Data source'!$D$11,IF($H24='[1]Data source'!$C$12,'[1]Data source'!$D$12,IF($H24='[1]Data source'!$C$13,'[1]Data source'!$D$13,IF($H24='[1]Data source'!$C$14,'[1]Data source'!$D$14,0)))))*IF($I24='[1]Data source'!$C$19,'[1]Data source'!$D$19,IF($I24='[1]Data source'!$C$20,'[1]Data source'!$D$20,IF($I24='[1]Data source'!$C$21,'[1]Data source'!$D$21,IF($I24='[1]Data source'!$C$22,'[1]Data source'!$D$22,IF($H24='[1]Data source'!$C$23,'[1]Data source'!$D$23,0)))))</f>
        <v>12</v>
      </c>
      <c r="K24" s="15" t="str">
        <f t="shared" si="0"/>
        <v>Action Required</v>
      </c>
      <c r="L24" s="12" t="s">
        <v>124</v>
      </c>
      <c r="M24" s="13" t="s">
        <v>125</v>
      </c>
      <c r="N24" s="17">
        <f>(1-IF($M24='[1]Data source'!$C$27,'[1]Data source'!$D$27,IF($M24='[1]Data source'!$C$28,'[1]Data source'!$D$28,IF($M24='[1]Data source'!$C$29,'[1]Data source'!$D$29,IF($M24='[1]Data source'!$C$30,'[1]Data source'!$D$30,0)))))*J24</f>
        <v>4.8000000000000007</v>
      </c>
      <c r="O24" s="16"/>
      <c r="P24" s="18"/>
      <c r="Q24" s="18"/>
      <c r="R24" s="18"/>
      <c r="S24" s="19"/>
      <c r="T24" s="28"/>
    </row>
    <row r="25" spans="2:20" s="21" customFormat="1" ht="135" x14ac:dyDescent="0.2">
      <c r="B25" s="24"/>
      <c r="C25" s="9">
        <v>24</v>
      </c>
      <c r="D25" s="9" t="s">
        <v>126</v>
      </c>
      <c r="E25" s="29" t="s">
        <v>127</v>
      </c>
      <c r="F25" s="11"/>
      <c r="G25" s="12" t="s">
        <v>128</v>
      </c>
      <c r="H25" s="13" t="s">
        <v>23</v>
      </c>
      <c r="I25" s="13" t="s">
        <v>35</v>
      </c>
      <c r="J25" s="14">
        <f>IF($H25='[1]Data source'!$C$10,'[1]Data source'!$D$10,IF($H25='[1]Data source'!$C$11,'[1]Data source'!$D$11,IF($H25='[1]Data source'!$C$12,'[1]Data source'!$D$12,IF($H25='[1]Data source'!$C$13,'[1]Data source'!$D$13,IF($H25='[1]Data source'!$C$14,'[1]Data source'!$D$14,0)))))*IF($I25='[1]Data source'!$C$19,'[1]Data source'!$D$19,IF($I25='[1]Data source'!$C$20,'[1]Data source'!$D$20,IF($I25='[1]Data source'!$C$21,'[1]Data source'!$D$21,IF($I25='[1]Data source'!$C$22,'[1]Data source'!$D$22,IF($H25='[1]Data source'!$C$23,'[1]Data source'!$D$23,0)))))</f>
        <v>20</v>
      </c>
      <c r="K25" s="15" t="str">
        <f t="shared" si="0"/>
        <v>Unacceptable</v>
      </c>
      <c r="L25" s="12" t="s">
        <v>129</v>
      </c>
      <c r="M25" s="13" t="s">
        <v>26</v>
      </c>
      <c r="N25" s="17">
        <f>(1-IF($M25='[1]Data source'!$C$27,'[1]Data source'!$D$27,IF($M25='[1]Data source'!$C$28,'[1]Data source'!$D$28,IF($M25='[1]Data source'!$C$29,'[1]Data source'!$D$29,IF($M25='[1]Data source'!$C$30,'[1]Data source'!$D$30,0)))))*J25</f>
        <v>16</v>
      </c>
      <c r="O25" s="16"/>
      <c r="P25" s="18"/>
      <c r="Q25" s="18"/>
      <c r="R25" s="18"/>
      <c r="S25" s="19"/>
      <c r="T25" s="28"/>
    </row>
    <row r="26" spans="2:20" s="21" customFormat="1" ht="112.5" x14ac:dyDescent="0.2">
      <c r="B26" s="24"/>
      <c r="C26" s="9">
        <v>25</v>
      </c>
      <c r="D26" s="9" t="s">
        <v>130</v>
      </c>
      <c r="E26" s="29" t="s">
        <v>131</v>
      </c>
      <c r="F26" s="11"/>
      <c r="G26" s="12" t="s">
        <v>132</v>
      </c>
      <c r="H26" s="13" t="s">
        <v>23</v>
      </c>
      <c r="I26" s="13" t="s">
        <v>35</v>
      </c>
      <c r="J26" s="14">
        <f>IF($H26='[1]Data source'!$C$10,'[1]Data source'!$D$10,IF($H26='[1]Data source'!$C$11,'[1]Data source'!$D$11,IF($H26='[1]Data source'!$C$12,'[1]Data source'!$D$12,IF($H26='[1]Data source'!$C$13,'[1]Data source'!$D$13,IF($H26='[1]Data source'!$C$14,'[1]Data source'!$D$14,0)))))*IF($I26='[1]Data source'!$C$19,'[1]Data source'!$D$19,IF($I26='[1]Data source'!$C$20,'[1]Data source'!$D$20,IF($I26='[1]Data source'!$C$21,'[1]Data source'!$D$21,IF($I26='[1]Data source'!$C$22,'[1]Data source'!$D$22,IF($H26='[1]Data source'!$C$23,'[1]Data source'!$D$23,0)))))</f>
        <v>20</v>
      </c>
      <c r="K26" s="15" t="str">
        <f t="shared" si="0"/>
        <v>Unacceptable</v>
      </c>
      <c r="L26" s="12" t="s">
        <v>133</v>
      </c>
      <c r="M26" s="13" t="s">
        <v>26</v>
      </c>
      <c r="N26" s="17">
        <f>(1-IF($M26='[1]Data source'!$C$27,'[1]Data source'!$D$27,IF($M26='[1]Data source'!$C$28,'[1]Data source'!$D$28,IF($M26='[1]Data source'!$C$29,'[1]Data source'!$D$29,IF($M26='[1]Data source'!$C$30,'[1]Data source'!$D$30,0)))))*J26</f>
        <v>16</v>
      </c>
      <c r="O26" s="16"/>
      <c r="P26" s="18"/>
      <c r="Q26" s="18"/>
      <c r="R26" s="18"/>
      <c r="S26" s="19"/>
      <c r="T26" s="28"/>
    </row>
    <row r="27" spans="2:20" s="21" customFormat="1" ht="90" x14ac:dyDescent="0.2">
      <c r="B27" s="24"/>
      <c r="C27" s="9">
        <v>26</v>
      </c>
      <c r="D27" s="9" t="s">
        <v>134</v>
      </c>
      <c r="E27" s="29" t="s">
        <v>135</v>
      </c>
      <c r="F27" s="11"/>
      <c r="G27" s="12" t="s">
        <v>136</v>
      </c>
      <c r="H27" s="13" t="s">
        <v>46</v>
      </c>
      <c r="I27" s="13" t="s">
        <v>30</v>
      </c>
      <c r="J27" s="14">
        <f>IF($H27='[1]Data source'!$C$10,'[1]Data source'!$D$10,IF($H27='[1]Data source'!$C$11,'[1]Data source'!$D$11,IF($H27='[1]Data source'!$C$12,'[1]Data source'!$D$12,IF($H27='[1]Data source'!$C$13,'[1]Data source'!$D$13,IF($H27='[1]Data source'!$C$14,'[1]Data source'!$D$14,0)))))*IF($I27='[1]Data source'!$C$19,'[1]Data source'!$D$19,IF($I27='[1]Data source'!$C$20,'[1]Data source'!$D$20,IF($I27='[1]Data source'!$C$21,'[1]Data source'!$D$21,IF($I27='[1]Data source'!$C$22,'[1]Data source'!$D$22,IF($H27='[1]Data source'!$C$23,'[1]Data source'!$D$23,0)))))</f>
        <v>9</v>
      </c>
      <c r="K27" s="15" t="str">
        <f t="shared" si="0"/>
        <v>Action Required</v>
      </c>
      <c r="L27" s="12" t="s">
        <v>137</v>
      </c>
      <c r="M27" s="13" t="s">
        <v>26</v>
      </c>
      <c r="N27" s="17">
        <f>(1-IF($M27='[1]Data source'!$C$27,'[1]Data source'!$D$27,IF($M27='[1]Data source'!$C$28,'[1]Data source'!$D$28,IF($M27='[1]Data source'!$C$29,'[1]Data source'!$D$29,IF($M27='[1]Data source'!$C$30,'[1]Data source'!$D$30,0)))))*J27</f>
        <v>7.2</v>
      </c>
      <c r="O27" s="16"/>
      <c r="P27" s="18"/>
      <c r="Q27" s="18"/>
      <c r="R27" s="18"/>
      <c r="S27" s="19"/>
      <c r="T27" s="28"/>
    </row>
    <row r="28" spans="2:20" s="21" customFormat="1" ht="78.75" x14ac:dyDescent="0.2">
      <c r="B28" s="24"/>
      <c r="C28" s="9">
        <v>27</v>
      </c>
      <c r="D28" s="9" t="s">
        <v>138</v>
      </c>
      <c r="E28" s="29" t="s">
        <v>139</v>
      </c>
      <c r="F28" s="11"/>
      <c r="G28" s="12" t="s">
        <v>140</v>
      </c>
      <c r="H28" s="13" t="s">
        <v>23</v>
      </c>
      <c r="I28" s="13" t="s">
        <v>41</v>
      </c>
      <c r="J28" s="14">
        <f>IF($H28='[1]Data source'!$C$10,'[1]Data source'!$D$10,IF($H28='[1]Data source'!$C$11,'[1]Data source'!$D$11,IF($H28='[1]Data source'!$C$12,'[1]Data source'!$D$12,IF($H28='[1]Data source'!$C$13,'[1]Data source'!$D$13,IF($H28='[1]Data source'!$C$14,'[1]Data source'!$D$14,0)))))*IF($I28='[1]Data source'!$C$19,'[1]Data source'!$D$19,IF($I28='[1]Data source'!$C$20,'[1]Data source'!$D$20,IF($I28='[1]Data source'!$C$21,'[1]Data source'!$D$21,IF($I28='[1]Data source'!$C$22,'[1]Data source'!$D$22,IF($H28='[1]Data source'!$C$23,'[1]Data source'!$D$23,0)))))</f>
        <v>16</v>
      </c>
      <c r="K28" s="15" t="str">
        <f t="shared" si="0"/>
        <v>Unacceptable</v>
      </c>
      <c r="L28" s="12" t="s">
        <v>141</v>
      </c>
      <c r="M28" s="13" t="s">
        <v>26</v>
      </c>
      <c r="N28" s="17">
        <f>(1-IF($M28='[1]Data source'!$C$27,'[1]Data source'!$D$27,IF($M28='[1]Data source'!$C$28,'[1]Data source'!$D$28,IF($M28='[1]Data source'!$C$29,'[1]Data source'!$D$29,IF($M28='[1]Data source'!$C$30,'[1]Data source'!$D$30,0)))))*J28</f>
        <v>12.8</v>
      </c>
      <c r="O28" s="16"/>
      <c r="P28" s="18"/>
      <c r="Q28" s="18"/>
      <c r="R28" s="18"/>
      <c r="S28" s="19"/>
      <c r="T28" s="28"/>
    </row>
    <row r="29" spans="2:20" s="21" customFormat="1" ht="67.5" x14ac:dyDescent="0.2">
      <c r="B29" s="24"/>
      <c r="C29" s="9">
        <v>28</v>
      </c>
      <c r="D29" s="9" t="s">
        <v>142</v>
      </c>
      <c r="E29" s="29" t="s">
        <v>143</v>
      </c>
      <c r="F29" s="11"/>
      <c r="G29" s="12" t="s">
        <v>144</v>
      </c>
      <c r="H29" s="13" t="s">
        <v>23</v>
      </c>
      <c r="I29" s="13" t="s">
        <v>35</v>
      </c>
      <c r="J29" s="14">
        <f>IF($H29='[1]Data source'!$C$10,'[1]Data source'!$D$10,IF($H29='[1]Data source'!$C$11,'[1]Data source'!$D$11,IF($H29='[1]Data source'!$C$12,'[1]Data source'!$D$12,IF($H29='[1]Data source'!$C$13,'[1]Data source'!$D$13,IF($H29='[1]Data source'!$C$14,'[1]Data source'!$D$14,0)))))*IF($I29='[1]Data source'!$C$19,'[1]Data source'!$D$19,IF($I29='[1]Data source'!$C$20,'[1]Data source'!$D$20,IF($I29='[1]Data source'!$C$21,'[1]Data source'!$D$21,IF($I29='[1]Data source'!$C$22,'[1]Data source'!$D$22,IF($H29='[1]Data source'!$C$23,'[1]Data source'!$D$23,0)))))</f>
        <v>20</v>
      </c>
      <c r="K29" s="15" t="str">
        <f t="shared" si="0"/>
        <v>Unacceptable</v>
      </c>
      <c r="L29" s="12" t="s">
        <v>145</v>
      </c>
      <c r="M29" s="13" t="s">
        <v>26</v>
      </c>
      <c r="N29" s="17">
        <f>(1-IF($M29='[1]Data source'!$C$27,'[1]Data source'!$D$27,IF($M29='[1]Data source'!$C$28,'[1]Data source'!$D$28,IF($M29='[1]Data source'!$C$29,'[1]Data source'!$D$29,IF($M29='[1]Data source'!$C$30,'[1]Data source'!$D$30,0)))))*J29</f>
        <v>16</v>
      </c>
      <c r="O29" s="16"/>
      <c r="P29" s="18"/>
      <c r="Q29" s="18"/>
      <c r="R29" s="18"/>
      <c r="S29" s="19"/>
      <c r="T29" s="28"/>
    </row>
    <row r="30" spans="2:20" s="21" customFormat="1" ht="56.25" x14ac:dyDescent="0.2">
      <c r="B30" s="24"/>
      <c r="C30" s="9">
        <v>29</v>
      </c>
      <c r="D30" s="9" t="s">
        <v>146</v>
      </c>
      <c r="E30" s="19" t="s">
        <v>147</v>
      </c>
      <c r="F30" s="11"/>
      <c r="G30" s="12" t="s">
        <v>148</v>
      </c>
      <c r="H30" s="13" t="s">
        <v>23</v>
      </c>
      <c r="I30" s="13" t="s">
        <v>35</v>
      </c>
      <c r="J30" s="14">
        <f>IF($H30='[1]Data source'!$C$10,'[1]Data source'!$D$10,IF($H30='[1]Data source'!$C$11,'[1]Data source'!$D$11,IF($H30='[1]Data source'!$C$12,'[1]Data source'!$D$12,IF($H30='[1]Data source'!$C$13,'[1]Data source'!$D$13,IF($H30='[1]Data source'!$C$14,'[1]Data source'!$D$14,0)))))*IF($I30='[1]Data source'!$C$19,'[1]Data source'!$D$19,IF($I30='[1]Data source'!$C$20,'[1]Data source'!$D$20,IF($I30='[1]Data source'!$C$21,'[1]Data source'!$D$21,IF($I30='[1]Data source'!$C$22,'[1]Data source'!$D$22,IF($H30='[1]Data source'!$C$23,'[1]Data source'!$D$23,0)))))</f>
        <v>20</v>
      </c>
      <c r="K30" s="15" t="str">
        <f t="shared" si="0"/>
        <v>Unacceptable</v>
      </c>
      <c r="L30" s="12" t="s">
        <v>149</v>
      </c>
      <c r="M30" s="13" t="s">
        <v>26</v>
      </c>
      <c r="N30" s="17">
        <f>(1-IF($M30='[1]Data source'!$C$27,'[1]Data source'!$D$27,IF($M30='[1]Data source'!$C$28,'[1]Data source'!$D$28,IF($M30='[1]Data source'!$C$29,'[1]Data source'!$D$29,IF($M30='[1]Data source'!$C$30,'[1]Data source'!$D$30,0)))))*J30</f>
        <v>16</v>
      </c>
      <c r="O30" s="16"/>
      <c r="P30" s="18"/>
      <c r="Q30" s="18"/>
      <c r="R30" s="18"/>
      <c r="S30" s="19"/>
      <c r="T30" s="28"/>
    </row>
    <row r="31" spans="2:20" s="21" customFormat="1" ht="90" x14ac:dyDescent="0.2">
      <c r="B31" s="24"/>
      <c r="C31" s="9">
        <v>30</v>
      </c>
      <c r="D31" s="9" t="s">
        <v>150</v>
      </c>
      <c r="E31" s="31" t="s">
        <v>151</v>
      </c>
      <c r="F31" s="11"/>
      <c r="G31" s="12" t="s">
        <v>152</v>
      </c>
      <c r="H31" s="13" t="s">
        <v>23</v>
      </c>
      <c r="I31" s="13" t="s">
        <v>35</v>
      </c>
      <c r="J31" s="14">
        <f>IF($H31='[1]Data source'!$C$10,'[1]Data source'!$D$10,IF($H31='[1]Data source'!$C$11,'[1]Data source'!$D$11,IF($H31='[1]Data source'!$C$12,'[1]Data source'!$D$12,IF($H31='[1]Data source'!$C$13,'[1]Data source'!$D$13,IF($H31='[1]Data source'!$C$14,'[1]Data source'!$D$14,0)))))*IF($I31='[1]Data source'!$C$19,'[1]Data source'!$D$19,IF($I31='[1]Data source'!$C$20,'[1]Data source'!$D$20,IF($I31='[1]Data source'!$C$21,'[1]Data source'!$D$21,IF($I31='[1]Data source'!$C$22,'[1]Data source'!$D$22,IF($H31='[1]Data source'!$C$23,'[1]Data source'!$D$23,0)))))</f>
        <v>20</v>
      </c>
      <c r="K31" s="15" t="str">
        <f t="shared" si="0"/>
        <v>Unacceptable</v>
      </c>
      <c r="L31" s="12" t="s">
        <v>153</v>
      </c>
      <c r="M31" s="13" t="s">
        <v>26</v>
      </c>
      <c r="N31" s="17">
        <f>(1-IF($M31='[1]Data source'!$C$27,'[1]Data source'!$D$27,IF($M31='[1]Data source'!$C$28,'[1]Data source'!$D$28,IF($M31='[1]Data source'!$C$29,'[1]Data source'!$D$29,IF($M31='[1]Data source'!$C$30,'[1]Data source'!$D$30,0)))))*J31</f>
        <v>16</v>
      </c>
      <c r="O31" s="16"/>
      <c r="P31" s="18"/>
      <c r="Q31" s="18"/>
      <c r="R31" s="18"/>
      <c r="S31" s="19"/>
      <c r="T31" s="28"/>
    </row>
    <row r="32" spans="2:20" s="21" customFormat="1" ht="157.5" x14ac:dyDescent="0.2">
      <c r="B32" s="32" t="s">
        <v>154</v>
      </c>
      <c r="C32" s="9">
        <v>31</v>
      </c>
      <c r="D32" s="9" t="s">
        <v>155</v>
      </c>
      <c r="E32" s="10" t="s">
        <v>156</v>
      </c>
      <c r="F32" s="33" t="s">
        <v>157</v>
      </c>
      <c r="G32" s="12" t="s">
        <v>158</v>
      </c>
      <c r="H32" s="13" t="s">
        <v>23</v>
      </c>
      <c r="I32" s="13" t="s">
        <v>35</v>
      </c>
      <c r="J32" s="14">
        <f>IF($H32='[1]Data source'!$C$10,'[1]Data source'!$D$10,IF($H32='[1]Data source'!$C$11,'[1]Data source'!$D$11,IF($H32='[1]Data source'!$C$12,'[1]Data source'!$D$12,IF($H32='[1]Data source'!$C$13,'[1]Data source'!$D$13,IF($H32='[1]Data source'!$C$14,'[1]Data source'!$D$14,0)))))*IF($I32='[1]Data source'!$C$19,'[1]Data source'!$D$19,IF($I32='[1]Data source'!$C$20,'[1]Data source'!$D$20,IF($I32='[1]Data source'!$C$21,'[1]Data source'!$D$21,IF($I32='[1]Data source'!$C$22,'[1]Data source'!$D$22,IF($H32='[1]Data source'!$C$23,'[1]Data source'!$D$23,0)))))</f>
        <v>20</v>
      </c>
      <c r="K32" s="15" t="str">
        <f t="shared" si="0"/>
        <v>Unacceptable</v>
      </c>
      <c r="L32" s="22" t="s">
        <v>159</v>
      </c>
      <c r="M32" s="13" t="s">
        <v>26</v>
      </c>
      <c r="N32" s="17">
        <f>(1-IF($M32='[1]Data source'!$C$27,'[1]Data source'!$D$27,IF($M32='[1]Data source'!$C$28,'[1]Data source'!$D$28,IF($M32='[1]Data source'!$C$29,'[1]Data source'!$D$29,IF($M32='[1]Data source'!$C$30,'[1]Data source'!$D$30,0)))))*J32</f>
        <v>16</v>
      </c>
      <c r="O32" s="16"/>
      <c r="P32" s="18"/>
      <c r="Q32" s="18"/>
      <c r="R32" s="34"/>
      <c r="S32" s="19"/>
      <c r="T32" s="28"/>
    </row>
    <row r="33" spans="2:20" s="21" customFormat="1" ht="157.5" x14ac:dyDescent="0.2">
      <c r="B33" s="35"/>
      <c r="C33" s="9">
        <v>32</v>
      </c>
      <c r="D33" s="9" t="s">
        <v>160</v>
      </c>
      <c r="E33" s="29" t="s">
        <v>161</v>
      </c>
      <c r="F33" s="36"/>
      <c r="G33" s="30" t="s">
        <v>162</v>
      </c>
      <c r="H33" s="13" t="s">
        <v>23</v>
      </c>
      <c r="I33" s="13" t="s">
        <v>30</v>
      </c>
      <c r="J33" s="14">
        <f>IF($H33='[1]Data source'!$C$10,'[1]Data source'!$D$10,IF($H33='[1]Data source'!$C$11,'[1]Data source'!$D$11,IF($H33='[1]Data source'!$C$12,'[1]Data source'!$D$12,IF($H33='[1]Data source'!$C$13,'[1]Data source'!$D$13,IF($H33='[1]Data source'!$C$14,'[1]Data source'!$D$14,0)))))*IF($I33='[1]Data source'!$C$19,'[1]Data source'!$D$19,IF($I33='[1]Data source'!$C$20,'[1]Data source'!$D$20,IF($I33='[1]Data source'!$C$21,'[1]Data source'!$D$21,IF($I33='[1]Data source'!$C$22,'[1]Data source'!$D$22,IF($H33='[1]Data source'!$C$23,'[1]Data source'!$D$23,0)))))</f>
        <v>12</v>
      </c>
      <c r="K33" s="15" t="str">
        <f t="shared" si="0"/>
        <v>Action Required</v>
      </c>
      <c r="L33" s="22" t="s">
        <v>163</v>
      </c>
      <c r="M33" s="13" t="s">
        <v>26</v>
      </c>
      <c r="N33" s="17">
        <f>(1-IF($M33='[1]Data source'!$C$27,'[1]Data source'!$D$27,IF($M33='[1]Data source'!$C$28,'[1]Data source'!$D$28,IF($M33='[1]Data source'!$C$29,'[1]Data source'!$D$29,IF($M33='[1]Data source'!$C$30,'[1]Data source'!$D$30,0)))))*J33</f>
        <v>9.6000000000000014</v>
      </c>
      <c r="O33" s="16"/>
      <c r="P33" s="18"/>
      <c r="Q33" s="18"/>
      <c r="R33" s="34"/>
      <c r="S33" s="19"/>
      <c r="T33" s="28"/>
    </row>
    <row r="34" spans="2:20" s="21" customFormat="1" ht="90" x14ac:dyDescent="0.2">
      <c r="B34" s="35"/>
      <c r="C34" s="9">
        <v>33</v>
      </c>
      <c r="D34" s="9" t="s">
        <v>164</v>
      </c>
      <c r="E34" s="29" t="s">
        <v>165</v>
      </c>
      <c r="F34" s="36"/>
      <c r="G34" s="12" t="s">
        <v>166</v>
      </c>
      <c r="H34" s="13" t="s">
        <v>23</v>
      </c>
      <c r="I34" s="13" t="s">
        <v>41</v>
      </c>
      <c r="J34" s="14">
        <f>IF($H34='[1]Data source'!$C$10,'[1]Data source'!$D$10,IF($H34='[1]Data source'!$C$11,'[1]Data source'!$D$11,IF($H34='[1]Data source'!$C$12,'[1]Data source'!$D$12,IF($H34='[1]Data source'!$C$13,'[1]Data source'!$D$13,IF($H34='[1]Data source'!$C$14,'[1]Data source'!$D$14,0)))))*IF($I34='[1]Data source'!$C$19,'[1]Data source'!$D$19,IF($I34='[1]Data source'!$C$20,'[1]Data source'!$D$20,IF($I34='[1]Data source'!$C$21,'[1]Data source'!$D$21,IF($I34='[1]Data source'!$C$22,'[1]Data source'!$D$22,IF($H34='[1]Data source'!$C$23,'[1]Data source'!$D$23,0)))))</f>
        <v>16</v>
      </c>
      <c r="K34" s="15" t="str">
        <f t="shared" si="0"/>
        <v>Unacceptable</v>
      </c>
      <c r="L34" s="22" t="s">
        <v>167</v>
      </c>
      <c r="M34" s="13" t="s">
        <v>48</v>
      </c>
      <c r="N34" s="17">
        <f>(1-IF($M34='[1]Data source'!$C$27,'[1]Data source'!$D$27,IF($M34='[1]Data source'!$C$28,'[1]Data source'!$D$28,IF($M34='[1]Data source'!$C$29,'[1]Data source'!$D$29,IF($M34='[1]Data source'!$C$30,'[1]Data source'!$D$30,0)))))*J34</f>
        <v>9.6</v>
      </c>
      <c r="O34" s="16"/>
      <c r="P34" s="18"/>
      <c r="Q34" s="18"/>
      <c r="R34" s="34"/>
      <c r="S34" s="19"/>
      <c r="T34" s="28"/>
    </row>
    <row r="35" spans="2:20" s="21" customFormat="1" ht="112.5" x14ac:dyDescent="0.2">
      <c r="B35" s="35"/>
      <c r="C35" s="9">
        <v>34</v>
      </c>
      <c r="D35" s="9" t="s">
        <v>168</v>
      </c>
      <c r="E35" s="29" t="s">
        <v>169</v>
      </c>
      <c r="F35" s="36"/>
      <c r="G35" s="12" t="s">
        <v>170</v>
      </c>
      <c r="H35" s="13" t="s">
        <v>23</v>
      </c>
      <c r="I35" s="13" t="s">
        <v>41</v>
      </c>
      <c r="J35" s="14">
        <f>IF($H35='[1]Data source'!$C$10,'[1]Data source'!$D$10,IF($H35='[1]Data source'!$C$11,'[1]Data source'!$D$11,IF($H35='[1]Data source'!$C$12,'[1]Data source'!$D$12,IF($H35='[1]Data source'!$C$13,'[1]Data source'!$D$13,IF($H35='[1]Data source'!$C$14,'[1]Data source'!$D$14,0)))))*IF($I35='[1]Data source'!$C$19,'[1]Data source'!$D$19,IF($I35='[1]Data source'!$C$20,'[1]Data source'!$D$20,IF($I35='[1]Data source'!$C$21,'[1]Data source'!$D$21,IF($I35='[1]Data source'!$C$22,'[1]Data source'!$D$22,IF($H35='[1]Data source'!$C$23,'[1]Data source'!$D$23,0)))))</f>
        <v>16</v>
      </c>
      <c r="K35" s="15" t="str">
        <f t="shared" si="0"/>
        <v>Unacceptable</v>
      </c>
      <c r="L35" s="19" t="s">
        <v>171</v>
      </c>
      <c r="M35" s="13" t="s">
        <v>48</v>
      </c>
      <c r="N35" s="17">
        <f>(1-IF($M35='[1]Data source'!$C$27,'[1]Data source'!$D$27,IF($M35='[1]Data source'!$C$28,'[1]Data source'!$D$28,IF($M35='[1]Data source'!$C$29,'[1]Data source'!$D$29,IF($M35='[1]Data source'!$C$30,'[1]Data source'!$D$30,0)))))*J35</f>
        <v>9.6</v>
      </c>
      <c r="O35" s="16"/>
      <c r="P35" s="18"/>
      <c r="Q35" s="18"/>
      <c r="R35" s="34"/>
      <c r="S35" s="19"/>
      <c r="T35" s="28"/>
    </row>
    <row r="36" spans="2:20" s="21" customFormat="1" ht="90" x14ac:dyDescent="0.2">
      <c r="B36" s="35"/>
      <c r="C36" s="9">
        <v>35</v>
      </c>
      <c r="D36" s="9" t="s">
        <v>172</v>
      </c>
      <c r="E36" s="29" t="s">
        <v>173</v>
      </c>
      <c r="F36" s="36"/>
      <c r="G36" s="12" t="s">
        <v>174</v>
      </c>
      <c r="H36" s="13" t="s">
        <v>46</v>
      </c>
      <c r="I36" s="13" t="s">
        <v>24</v>
      </c>
      <c r="J36" s="14">
        <f>IF($H36='[1]Data source'!$C$10,'[1]Data source'!$D$10,IF($H36='[1]Data source'!$C$11,'[1]Data source'!$D$11,IF($H36='[1]Data source'!$C$12,'[1]Data source'!$D$12,IF($H36='[1]Data source'!$C$13,'[1]Data source'!$D$13,IF($H36='[1]Data source'!$C$14,'[1]Data source'!$D$14,0)))))*IF($I36='[1]Data source'!$C$19,'[1]Data source'!$D$19,IF($I36='[1]Data source'!$C$20,'[1]Data source'!$D$20,IF($I36='[1]Data source'!$C$21,'[1]Data source'!$D$21,IF($I36='[1]Data source'!$C$22,'[1]Data source'!$D$22,IF($H36='[1]Data source'!$C$23,'[1]Data source'!$D$23,0)))))</f>
        <v>6</v>
      </c>
      <c r="K36" s="15" t="str">
        <f t="shared" si="0"/>
        <v>Action Advisable</v>
      </c>
      <c r="L36" s="19" t="s">
        <v>175</v>
      </c>
      <c r="M36" s="13" t="s">
        <v>26</v>
      </c>
      <c r="N36" s="17">
        <f>(1-IF($M36='[1]Data source'!$C$27,'[1]Data source'!$D$27,IF($M36='[1]Data source'!$C$28,'[1]Data source'!$D$28,IF($M36='[1]Data source'!$C$29,'[1]Data source'!$D$29,IF($M36='[1]Data source'!$C$30,'[1]Data source'!$D$30,0)))))*J36</f>
        <v>4.8000000000000007</v>
      </c>
      <c r="O36" s="16"/>
      <c r="P36" s="18"/>
      <c r="Q36" s="18"/>
      <c r="R36" s="34"/>
      <c r="S36" s="19"/>
      <c r="T36" s="28"/>
    </row>
    <row r="37" spans="2:20" s="21" customFormat="1" ht="101.25" x14ac:dyDescent="0.2">
      <c r="B37" s="35"/>
      <c r="C37" s="9">
        <v>36</v>
      </c>
      <c r="D37" s="9" t="s">
        <v>176</v>
      </c>
      <c r="E37" s="37" t="s">
        <v>177</v>
      </c>
      <c r="F37" s="36"/>
      <c r="G37" s="19" t="s">
        <v>178</v>
      </c>
      <c r="H37" s="13" t="s">
        <v>23</v>
      </c>
      <c r="I37" s="13" t="s">
        <v>41</v>
      </c>
      <c r="J37" s="14">
        <f>IF($H37='[1]Data source'!$C$10,'[1]Data source'!$D$10,IF($H37='[1]Data source'!$C$11,'[1]Data source'!$D$11,IF($H37='[1]Data source'!$C$12,'[1]Data source'!$D$12,IF($H37='[1]Data source'!$C$13,'[1]Data source'!$D$13,IF($H37='[1]Data source'!$C$14,'[1]Data source'!$D$14,0)))))*IF($I37='[1]Data source'!$C$19,'[1]Data source'!$D$19,IF($I37='[1]Data source'!$C$20,'[1]Data source'!$D$20,IF($I37='[1]Data source'!$C$21,'[1]Data source'!$D$21,IF($I37='[1]Data source'!$C$22,'[1]Data source'!$D$22,IF($H37='[1]Data source'!$C$23,'[1]Data source'!$D$23,0)))))</f>
        <v>16</v>
      </c>
      <c r="K37" s="15" t="str">
        <f t="shared" si="0"/>
        <v>Unacceptable</v>
      </c>
      <c r="L37" s="19" t="s">
        <v>179</v>
      </c>
      <c r="M37" s="13" t="s">
        <v>48</v>
      </c>
      <c r="N37" s="17">
        <f>(1-IF($M37='[1]Data source'!$C$27,'[1]Data source'!$D$27,IF($M37='[1]Data source'!$C$28,'[1]Data source'!$D$28,IF($M37='[1]Data source'!$C$29,'[1]Data source'!$D$29,IF($M37='[1]Data source'!$C$30,'[1]Data source'!$D$30,0)))))*J37</f>
        <v>9.6</v>
      </c>
      <c r="O37" s="16"/>
      <c r="P37" s="18"/>
      <c r="Q37" s="18"/>
      <c r="R37" s="34"/>
      <c r="S37" s="19"/>
      <c r="T37" s="28"/>
    </row>
    <row r="38" spans="2:20" s="21" customFormat="1" ht="101.25" x14ac:dyDescent="0.2">
      <c r="B38" s="35"/>
      <c r="C38" s="9">
        <v>37</v>
      </c>
      <c r="D38" s="9" t="s">
        <v>180</v>
      </c>
      <c r="E38" s="38" t="s">
        <v>181</v>
      </c>
      <c r="F38" s="36"/>
      <c r="G38" s="19" t="s">
        <v>182</v>
      </c>
      <c r="H38" s="13" t="s">
        <v>23</v>
      </c>
      <c r="I38" s="13" t="s">
        <v>35</v>
      </c>
      <c r="J38" s="14">
        <f>IF($H38='[1]Data source'!$C$10,'[1]Data source'!$D$10,IF($H38='[1]Data source'!$C$11,'[1]Data source'!$D$11,IF($H38='[1]Data source'!$C$12,'[1]Data source'!$D$12,IF($H38='[1]Data source'!$C$13,'[1]Data source'!$D$13,IF($H38='[1]Data source'!$C$14,'[1]Data source'!$D$14,0)))))*IF($I38='[1]Data source'!$C$19,'[1]Data source'!$D$19,IF($I38='[1]Data source'!$C$20,'[1]Data source'!$D$20,IF($I38='[1]Data source'!$C$21,'[1]Data source'!$D$21,IF($I38='[1]Data source'!$C$22,'[1]Data source'!$D$22,IF($H38='[1]Data source'!$C$23,'[1]Data source'!$D$23,0)))))</f>
        <v>20</v>
      </c>
      <c r="K38" s="15" t="str">
        <f t="shared" si="0"/>
        <v>Unacceptable</v>
      </c>
      <c r="L38" s="19" t="s">
        <v>183</v>
      </c>
      <c r="M38" s="13" t="s">
        <v>26</v>
      </c>
      <c r="N38" s="17">
        <f>(1-IF($M38='[1]Data source'!$C$27,'[1]Data source'!$D$27,IF($M38='[1]Data source'!$C$28,'[1]Data source'!$D$28,IF($M38='[1]Data source'!$C$29,'[1]Data source'!$D$29,IF($M38='[1]Data source'!$C$30,'[1]Data source'!$D$30,0)))))*J38</f>
        <v>16</v>
      </c>
      <c r="O38" s="16"/>
      <c r="P38" s="18"/>
      <c r="Q38" s="18"/>
      <c r="R38" s="34"/>
      <c r="S38" s="19"/>
      <c r="T38" s="28"/>
    </row>
    <row r="39" spans="2:20" s="21" customFormat="1" ht="78.75" x14ac:dyDescent="0.2">
      <c r="B39" s="35"/>
      <c r="C39" s="9">
        <v>38</v>
      </c>
      <c r="D39" s="9" t="s">
        <v>184</v>
      </c>
      <c r="E39" s="38" t="s">
        <v>185</v>
      </c>
      <c r="F39" s="36"/>
      <c r="G39" s="19" t="s">
        <v>186</v>
      </c>
      <c r="H39" s="13" t="s">
        <v>40</v>
      </c>
      <c r="I39" s="13" t="s">
        <v>30</v>
      </c>
      <c r="J39" s="14">
        <f>IF($H39='[1]Data source'!$C$10,'[1]Data source'!$D$10,IF($H39='[1]Data source'!$C$11,'[1]Data source'!$D$11,IF($H39='[1]Data source'!$C$12,'[1]Data source'!$D$12,IF($H39='[1]Data source'!$C$13,'[1]Data source'!$D$13,IF($H39='[1]Data source'!$C$14,'[1]Data source'!$D$14,0)))))*IF($I39='[1]Data source'!$C$19,'[1]Data source'!$D$19,IF($I39='[1]Data source'!$C$20,'[1]Data source'!$D$20,IF($I39='[1]Data source'!$C$21,'[1]Data source'!$D$21,IF($I39='[1]Data source'!$C$22,'[1]Data source'!$D$22,IF($H39='[1]Data source'!$C$23,'[1]Data source'!$D$23,0)))))</f>
        <v>15</v>
      </c>
      <c r="K39" s="15" t="str">
        <f t="shared" si="0"/>
        <v>Unacceptable</v>
      </c>
      <c r="L39" s="19" t="s">
        <v>187</v>
      </c>
      <c r="M39" s="13" t="s">
        <v>26</v>
      </c>
      <c r="N39" s="17">
        <f>(1-IF($M39='[1]Data source'!$C$27,'[1]Data source'!$D$27,IF($M39='[1]Data source'!$C$28,'[1]Data source'!$D$28,IF($M39='[1]Data source'!$C$29,'[1]Data source'!$D$29,IF($M39='[1]Data source'!$C$30,'[1]Data source'!$D$30,0)))))*J39</f>
        <v>12</v>
      </c>
      <c r="O39" s="16"/>
      <c r="P39" s="18"/>
      <c r="Q39" s="18"/>
      <c r="R39" s="34"/>
      <c r="S39" s="19"/>
      <c r="T39" s="28"/>
    </row>
    <row r="40" spans="2:20" s="21" customFormat="1" ht="101.25" x14ac:dyDescent="0.2">
      <c r="B40" s="35"/>
      <c r="C40" s="9">
        <v>39</v>
      </c>
      <c r="D40" s="9" t="s">
        <v>188</v>
      </c>
      <c r="E40" s="38" t="s">
        <v>189</v>
      </c>
      <c r="F40" s="36"/>
      <c r="G40" s="19" t="s">
        <v>190</v>
      </c>
      <c r="H40" s="13" t="s">
        <v>23</v>
      </c>
      <c r="I40" s="13" t="s">
        <v>35</v>
      </c>
      <c r="J40" s="14">
        <f>IF($H40='[1]Data source'!$C$10,'[1]Data source'!$D$10,IF($H40='[1]Data source'!$C$11,'[1]Data source'!$D$11,IF($H40='[1]Data source'!$C$12,'[1]Data source'!$D$12,IF($H40='[1]Data source'!$C$13,'[1]Data source'!$D$13,IF($H40='[1]Data source'!$C$14,'[1]Data source'!$D$14,0)))))*IF($I40='[1]Data source'!$C$19,'[1]Data source'!$D$19,IF($I40='[1]Data source'!$C$20,'[1]Data source'!$D$20,IF($I40='[1]Data source'!$C$21,'[1]Data source'!$D$21,IF($I40='[1]Data source'!$C$22,'[1]Data source'!$D$22,IF($H40='[1]Data source'!$C$23,'[1]Data source'!$D$23,0)))))</f>
        <v>20</v>
      </c>
      <c r="K40" s="15" t="str">
        <f t="shared" si="0"/>
        <v>Unacceptable</v>
      </c>
      <c r="L40" s="31" t="s">
        <v>191</v>
      </c>
      <c r="M40" s="13" t="s">
        <v>26</v>
      </c>
      <c r="N40" s="17">
        <f>(1-IF($M40='[1]Data source'!$C$27,'[1]Data source'!$D$27,IF($M40='[1]Data source'!$C$28,'[1]Data source'!$D$28,IF($M40='[1]Data source'!$C$29,'[1]Data source'!$D$29,IF($M40='[1]Data source'!$C$30,'[1]Data source'!$D$30,0)))))*J40</f>
        <v>16</v>
      </c>
      <c r="O40" s="16"/>
      <c r="P40" s="18"/>
      <c r="Q40" s="18"/>
      <c r="R40" s="34"/>
      <c r="S40" s="19"/>
      <c r="T40" s="28"/>
    </row>
    <row r="41" spans="2:20" s="21" customFormat="1" ht="67.5" x14ac:dyDescent="0.2">
      <c r="B41" s="35"/>
      <c r="C41" s="9">
        <v>40</v>
      </c>
      <c r="D41" s="9" t="s">
        <v>192</v>
      </c>
      <c r="E41" s="38" t="s">
        <v>193</v>
      </c>
      <c r="F41" s="36"/>
      <c r="G41" s="19" t="s">
        <v>194</v>
      </c>
      <c r="H41" s="13" t="s">
        <v>23</v>
      </c>
      <c r="I41" s="13" t="s">
        <v>30</v>
      </c>
      <c r="J41" s="14">
        <f>IF($H41='[1]Data source'!$C$10,'[1]Data source'!$D$10,IF($H41='[1]Data source'!$C$11,'[1]Data source'!$D$11,IF($H41='[1]Data source'!$C$12,'[1]Data source'!$D$12,IF($H41='[1]Data source'!$C$13,'[1]Data source'!$D$13,IF($H41='[1]Data source'!$C$14,'[1]Data source'!$D$14,0)))))*IF($I41='[1]Data source'!$C$19,'[1]Data source'!$D$19,IF($I41='[1]Data source'!$C$20,'[1]Data source'!$D$20,IF($I41='[1]Data source'!$C$21,'[1]Data source'!$D$21,IF($I41='[1]Data source'!$C$22,'[1]Data source'!$D$22,IF($H41='[1]Data source'!$C$23,'[1]Data source'!$D$23,0)))))</f>
        <v>12</v>
      </c>
      <c r="K41" s="15" t="str">
        <f t="shared" si="0"/>
        <v>Action Required</v>
      </c>
      <c r="L41" s="31" t="s">
        <v>195</v>
      </c>
      <c r="M41" s="13" t="s">
        <v>125</v>
      </c>
      <c r="N41" s="17">
        <f>(1-IF($M41='[1]Data source'!$C$27,'[1]Data source'!$D$27,IF($M41='[1]Data source'!$C$28,'[1]Data source'!$D$28,IF($M41='[1]Data source'!$C$29,'[1]Data source'!$D$29,IF($M41='[1]Data source'!$C$30,'[1]Data source'!$D$30,0)))))*J41</f>
        <v>4.8000000000000007</v>
      </c>
      <c r="O41" s="16"/>
      <c r="P41" s="18"/>
      <c r="Q41" s="18"/>
      <c r="R41" s="34"/>
      <c r="S41" s="19"/>
      <c r="T41" s="28"/>
    </row>
    <row r="42" spans="2:20" s="21" customFormat="1" ht="67.5" x14ac:dyDescent="0.2">
      <c r="B42" s="39"/>
      <c r="C42" s="9">
        <v>41</v>
      </c>
      <c r="D42" s="9" t="s">
        <v>196</v>
      </c>
      <c r="E42" s="38" t="s">
        <v>197</v>
      </c>
      <c r="F42" s="40"/>
      <c r="G42" s="19" t="s">
        <v>198</v>
      </c>
      <c r="H42" s="13" t="s">
        <v>23</v>
      </c>
      <c r="I42" s="13" t="s">
        <v>35</v>
      </c>
      <c r="J42" s="14">
        <f>IF($H42='[1]Data source'!$C$10,'[1]Data source'!$D$10,IF($H42='[1]Data source'!$C$11,'[1]Data source'!$D$11,IF($H42='[1]Data source'!$C$12,'[1]Data source'!$D$12,IF($H42='[1]Data source'!$C$13,'[1]Data source'!$D$13,IF($H42='[1]Data source'!$C$14,'[1]Data source'!$D$14,0)))))*IF($I42='[1]Data source'!$C$19,'[1]Data source'!$D$19,IF($I42='[1]Data source'!$C$20,'[1]Data source'!$D$20,IF($I42='[1]Data source'!$C$21,'[1]Data source'!$D$21,IF($I42='[1]Data source'!$C$22,'[1]Data source'!$D$22,IF($H42='[1]Data source'!$C$23,'[1]Data source'!$D$23,0)))))</f>
        <v>20</v>
      </c>
      <c r="K42" s="15" t="str">
        <f t="shared" si="0"/>
        <v>Unacceptable</v>
      </c>
      <c r="L42" s="31" t="s">
        <v>199</v>
      </c>
      <c r="M42" s="13" t="s">
        <v>26</v>
      </c>
      <c r="N42" s="17">
        <f>(1-IF($M42='[1]Data source'!$C$27,'[1]Data source'!$D$27,IF($M42='[1]Data source'!$C$28,'[1]Data source'!$D$28,IF($M42='[1]Data source'!$C$29,'[1]Data source'!$D$29,IF($M42='[1]Data source'!$C$30,'[1]Data source'!$D$30,0)))))*J42</f>
        <v>16</v>
      </c>
      <c r="O42" s="16"/>
      <c r="P42" s="18"/>
      <c r="Q42" s="18"/>
      <c r="R42" s="34"/>
      <c r="S42" s="19"/>
      <c r="T42" s="28"/>
    </row>
    <row r="43" spans="2:20" s="21" customFormat="1" ht="112.5" x14ac:dyDescent="0.2">
      <c r="B43" s="41" t="s">
        <v>200</v>
      </c>
      <c r="C43" s="9">
        <v>42</v>
      </c>
      <c r="D43" s="38" t="s">
        <v>201</v>
      </c>
      <c r="E43" s="19" t="s">
        <v>202</v>
      </c>
      <c r="F43" s="11" t="s">
        <v>203</v>
      </c>
      <c r="G43" s="19" t="s">
        <v>204</v>
      </c>
      <c r="H43" s="13" t="s">
        <v>46</v>
      </c>
      <c r="I43" s="42" t="s">
        <v>30</v>
      </c>
      <c r="J43" s="14">
        <f>IF($H43='[1]Data source'!$C$10,'[1]Data source'!$D$10,IF($H43='[1]Data source'!$C$11,'[1]Data source'!$D$11,IF($H43='[1]Data source'!$C$12,'[1]Data source'!$D$12,IF($H43='[1]Data source'!$C$13,'[1]Data source'!$D$13,IF($H43='[1]Data source'!$C$14,'[1]Data source'!$D$14,0)))))*IF($I43='[1]Data source'!$C$19,'[1]Data source'!$D$19,IF($I43='[1]Data source'!$C$20,'[1]Data source'!$D$20,IF($I43='[1]Data source'!$C$21,'[1]Data source'!$D$21,IF($I43='[1]Data source'!$C$22,'[1]Data source'!$D$22,IF($H43='[1]Data source'!$C$23,'[1]Data source'!$D$23,0)))))</f>
        <v>9</v>
      </c>
      <c r="K43" s="15" t="str">
        <f t="shared" si="0"/>
        <v>Action Required</v>
      </c>
      <c r="L43" s="16" t="s">
        <v>205</v>
      </c>
      <c r="M43" s="13" t="s">
        <v>48</v>
      </c>
      <c r="N43" s="17">
        <f>(1-IF($M43='[1]Data source'!$C$27,'[1]Data source'!$D$27,IF($M43='[1]Data source'!$C$28,'[1]Data source'!$D$28,IF($M43='[1]Data source'!$C$29,'[1]Data source'!$D$29,IF($M43='[1]Data source'!$C$30,'[1]Data source'!$D$30,0)))))*J43</f>
        <v>5.3999999999999995</v>
      </c>
      <c r="O43" s="16"/>
      <c r="P43" s="18"/>
      <c r="Q43" s="18"/>
      <c r="R43" s="18"/>
      <c r="S43" s="19"/>
      <c r="T43" s="28"/>
    </row>
    <row r="44" spans="2:20" s="21" customFormat="1" ht="67.5" x14ac:dyDescent="0.2">
      <c r="B44" s="41"/>
      <c r="C44" s="9">
        <v>43</v>
      </c>
      <c r="D44" s="38" t="s">
        <v>206</v>
      </c>
      <c r="E44" s="19" t="s">
        <v>207</v>
      </c>
      <c r="F44" s="11"/>
      <c r="G44" s="19" t="s">
        <v>208</v>
      </c>
      <c r="H44" s="13" t="s">
        <v>46</v>
      </c>
      <c r="I44" s="42" t="s">
        <v>24</v>
      </c>
      <c r="J44" s="14">
        <f>IF($H44='[1]Data source'!$C$10,'[1]Data source'!$D$10,IF($H44='[1]Data source'!$C$11,'[1]Data source'!$D$11,IF($H44='[1]Data source'!$C$12,'[1]Data source'!$D$12,IF($H44='[1]Data source'!$C$13,'[1]Data source'!$D$13,IF($H44='[1]Data source'!$C$14,'[1]Data source'!$D$14,0)))))*IF($I44='[1]Data source'!$C$19,'[1]Data source'!$D$19,IF($I44='[1]Data source'!$C$20,'[1]Data source'!$D$20,IF($I44='[1]Data source'!$C$21,'[1]Data source'!$D$21,IF($I44='[1]Data source'!$C$22,'[1]Data source'!$D$22,IF($H44='[1]Data source'!$C$23,'[1]Data source'!$D$23,0)))))</f>
        <v>6</v>
      </c>
      <c r="K44" s="15" t="str">
        <f t="shared" si="0"/>
        <v>Action Advisable</v>
      </c>
      <c r="L44" s="16" t="s">
        <v>209</v>
      </c>
      <c r="M44" s="13" t="s">
        <v>125</v>
      </c>
      <c r="N44" s="17">
        <f>(1-IF($M44='[1]Data source'!$C$27,'[1]Data source'!$D$27,IF($M44='[1]Data source'!$C$28,'[1]Data source'!$D$28,IF($M44='[1]Data source'!$C$29,'[1]Data source'!$D$29,IF($M44='[1]Data source'!$C$30,'[1]Data source'!$D$30,0)))))*J44</f>
        <v>2.4000000000000004</v>
      </c>
      <c r="O44" s="16"/>
      <c r="P44" s="18"/>
      <c r="Q44" s="18"/>
      <c r="R44" s="18"/>
      <c r="S44" s="19"/>
      <c r="T44" s="28"/>
    </row>
    <row r="45" spans="2:20" s="21" customFormat="1" ht="78.75" x14ac:dyDescent="0.2">
      <c r="B45" s="41"/>
      <c r="C45" s="9">
        <v>44</v>
      </c>
      <c r="D45" s="38" t="s">
        <v>210</v>
      </c>
      <c r="E45" s="19" t="s">
        <v>211</v>
      </c>
      <c r="F45" s="11"/>
      <c r="G45" s="19" t="s">
        <v>212</v>
      </c>
      <c r="H45" s="13" t="s">
        <v>23</v>
      </c>
      <c r="I45" s="42" t="s">
        <v>41</v>
      </c>
      <c r="J45" s="14">
        <f>IF($H45='[1]Data source'!$C$10,'[1]Data source'!$D$10,IF($H45='[1]Data source'!$C$11,'[1]Data source'!$D$11,IF($H45='[1]Data source'!$C$12,'[1]Data source'!$D$12,IF($H45='[1]Data source'!$C$13,'[1]Data source'!$D$13,IF($H45='[1]Data source'!$C$14,'[1]Data source'!$D$14,0)))))*IF($I45='[1]Data source'!$C$19,'[1]Data source'!$D$19,IF($I45='[1]Data source'!$C$20,'[1]Data source'!$D$20,IF($I45='[1]Data source'!$C$21,'[1]Data source'!$D$21,IF($I45='[1]Data source'!$C$22,'[1]Data source'!$D$22,IF($H45='[1]Data source'!$C$23,'[1]Data source'!$D$23,0)))))</f>
        <v>16</v>
      </c>
      <c r="K45" s="15" t="str">
        <f t="shared" si="0"/>
        <v>Unacceptable</v>
      </c>
      <c r="L45" s="19" t="s">
        <v>213</v>
      </c>
      <c r="M45" s="13" t="s">
        <v>26</v>
      </c>
      <c r="N45" s="17">
        <f>(1-IF($M45='[1]Data source'!$C$27,'[1]Data source'!$D$27,IF($M45='[1]Data source'!$C$28,'[1]Data source'!$D$28,IF($M45='[1]Data source'!$C$29,'[1]Data source'!$D$29,IF($M45='[1]Data source'!$C$30,'[1]Data source'!$D$30,0)))))*J45</f>
        <v>12.8</v>
      </c>
      <c r="O45" s="16"/>
      <c r="P45" s="18"/>
      <c r="Q45" s="18"/>
      <c r="R45" s="18"/>
      <c r="S45" s="19"/>
      <c r="T45" s="28"/>
    </row>
    <row r="46" spans="2:20" s="21" customFormat="1" ht="101.25" x14ac:dyDescent="0.2">
      <c r="B46" s="41"/>
      <c r="C46" s="9">
        <v>45</v>
      </c>
      <c r="D46" s="38" t="s">
        <v>214</v>
      </c>
      <c r="E46" s="19" t="s">
        <v>215</v>
      </c>
      <c r="F46" s="11"/>
      <c r="G46" s="19" t="s">
        <v>216</v>
      </c>
      <c r="H46" s="42" t="s">
        <v>23</v>
      </c>
      <c r="I46" s="42" t="s">
        <v>30</v>
      </c>
      <c r="J46" s="14">
        <f>IF($H46='[1]Data source'!$C$10,'[1]Data source'!$D$10,IF($H46='[1]Data source'!$C$11,'[1]Data source'!$D$11,IF($H46='[1]Data source'!$C$12,'[1]Data source'!$D$12,IF($H46='[1]Data source'!$C$13,'[1]Data source'!$D$13,IF($H46='[1]Data source'!$C$14,'[1]Data source'!$D$14,0)))))*IF($I46='[1]Data source'!$C$19,'[1]Data source'!$D$19,IF($I46='[1]Data source'!$C$20,'[1]Data source'!$D$20,IF($I46='[1]Data source'!$C$21,'[1]Data source'!$D$21,IF($I46='[1]Data source'!$C$22,'[1]Data source'!$D$22,IF($H46='[1]Data source'!$C$23,'[1]Data source'!$D$23,0)))))</f>
        <v>12</v>
      </c>
      <c r="K46" s="15" t="str">
        <f t="shared" si="0"/>
        <v>Action Required</v>
      </c>
      <c r="L46" s="16" t="s">
        <v>217</v>
      </c>
      <c r="M46" s="13" t="s">
        <v>125</v>
      </c>
      <c r="N46" s="17">
        <f>(1-IF($M46='[1]Data source'!$C$27,'[1]Data source'!$D$27,IF($M46='[1]Data source'!$C$28,'[1]Data source'!$D$28,IF($M46='[1]Data source'!$C$29,'[1]Data source'!$D$29,IF($M46='[1]Data source'!$C$30,'[1]Data source'!$D$30,0)))))*J46</f>
        <v>4.8000000000000007</v>
      </c>
      <c r="O46" s="16"/>
      <c r="P46" s="18"/>
      <c r="Q46" s="18"/>
      <c r="R46" s="18"/>
      <c r="S46" s="19"/>
      <c r="T46" s="28"/>
    </row>
    <row r="47" spans="2:20" s="21" customFormat="1" ht="45" x14ac:dyDescent="0.2">
      <c r="B47" s="41"/>
      <c r="C47" s="9">
        <v>46</v>
      </c>
      <c r="D47" s="38" t="s">
        <v>218</v>
      </c>
      <c r="E47" s="19" t="s">
        <v>219</v>
      </c>
      <c r="F47" s="11"/>
      <c r="G47" s="43" t="s">
        <v>220</v>
      </c>
      <c r="H47" s="42" t="s">
        <v>221</v>
      </c>
      <c r="I47" s="42" t="s">
        <v>24</v>
      </c>
      <c r="J47" s="14">
        <f>IF($H47='[1]Data source'!$C$10,'[1]Data source'!$D$10,IF($H47='[1]Data source'!$C$11,'[1]Data source'!$D$11,IF($H47='[1]Data source'!$C$12,'[1]Data source'!$D$12,IF($H47='[1]Data source'!$C$13,'[1]Data source'!$D$13,IF($H47='[1]Data source'!$C$14,'[1]Data source'!$D$14,0)))))*IF($I47='[1]Data source'!$C$19,'[1]Data source'!$D$19,IF($I47='[1]Data source'!$C$20,'[1]Data source'!$D$20,IF($I47='[1]Data source'!$C$21,'[1]Data source'!$D$21,IF($I47='[1]Data source'!$C$22,'[1]Data source'!$D$22,IF($H47='[1]Data source'!$C$23,'[1]Data source'!$D$23,0)))))</f>
        <v>4</v>
      </c>
      <c r="K47" s="15" t="str">
        <f t="shared" si="0"/>
        <v>Acceptable</v>
      </c>
      <c r="L47" s="22" t="s">
        <v>222</v>
      </c>
      <c r="M47" s="13" t="s">
        <v>48</v>
      </c>
      <c r="N47" s="17">
        <f>(1-IF($M47='[1]Data source'!$C$27,'[1]Data source'!$D$27,IF($M47='[1]Data source'!$C$28,'[1]Data source'!$D$28,IF($M47='[1]Data source'!$C$29,'[1]Data source'!$D$29,IF($M47='[1]Data source'!$C$30,'[1]Data source'!$D$30,0)))))*J47</f>
        <v>2.4</v>
      </c>
      <c r="O47" s="22"/>
      <c r="P47" s="22"/>
      <c r="Q47" s="22"/>
      <c r="R47" s="44"/>
      <c r="S47" s="19"/>
      <c r="T47" s="28"/>
    </row>
    <row r="48" spans="2:20" s="21" customFormat="1" ht="78.75" x14ac:dyDescent="0.2">
      <c r="B48" s="41"/>
      <c r="C48" s="9">
        <v>47</v>
      </c>
      <c r="D48" s="38" t="s">
        <v>223</v>
      </c>
      <c r="E48" s="19" t="s">
        <v>224</v>
      </c>
      <c r="F48" s="11"/>
      <c r="G48" s="19" t="s">
        <v>225</v>
      </c>
      <c r="H48" s="42" t="s">
        <v>46</v>
      </c>
      <c r="I48" s="42" t="s">
        <v>24</v>
      </c>
      <c r="J48" s="14">
        <f>IF($H48='[1]Data source'!$C$10,'[1]Data source'!$D$10,IF($H48='[1]Data source'!$C$11,'[1]Data source'!$D$11,IF($H48='[1]Data source'!$C$12,'[1]Data source'!$D$12,IF($H48='[1]Data source'!$C$13,'[1]Data source'!$D$13,IF($H48='[1]Data source'!$C$14,'[1]Data source'!$D$14,0)))))*IF($I48='[1]Data source'!$C$19,'[1]Data source'!$D$19,IF($I48='[1]Data source'!$C$20,'[1]Data source'!$D$20,IF($I48='[1]Data source'!$C$21,'[1]Data source'!$D$21,IF($I48='[1]Data source'!$C$22,'[1]Data source'!$D$22,IF($H48='[1]Data source'!$C$23,'[1]Data source'!$D$23,0)))))</f>
        <v>6</v>
      </c>
      <c r="K48" s="15" t="str">
        <f t="shared" si="0"/>
        <v>Action Advisable</v>
      </c>
      <c r="L48" s="22" t="s">
        <v>226</v>
      </c>
      <c r="M48" s="13" t="s">
        <v>125</v>
      </c>
      <c r="N48" s="17">
        <f>(1-IF($M48='[1]Data source'!$C$27,'[1]Data source'!$D$27,IF($M48='[1]Data source'!$C$28,'[1]Data source'!$D$28,IF($M48='[1]Data source'!$C$29,'[1]Data source'!$D$29,IF($M48='[1]Data source'!$C$30,'[1]Data source'!$D$30,0)))))*J48</f>
        <v>2.4000000000000004</v>
      </c>
      <c r="O48" s="22"/>
      <c r="P48" s="22"/>
      <c r="Q48" s="22"/>
      <c r="R48" s="44"/>
      <c r="S48" s="19"/>
      <c r="T48" s="28"/>
    </row>
    <row r="49" spans="2:19" s="21" customFormat="1" ht="90" x14ac:dyDescent="0.2">
      <c r="B49" s="41"/>
      <c r="C49" s="9">
        <v>48</v>
      </c>
      <c r="D49" s="38" t="s">
        <v>227</v>
      </c>
      <c r="E49" s="19" t="s">
        <v>228</v>
      </c>
      <c r="F49" s="11"/>
      <c r="G49" s="19" t="s">
        <v>229</v>
      </c>
      <c r="H49" s="42" t="s">
        <v>23</v>
      </c>
      <c r="I49" s="42" t="s">
        <v>41</v>
      </c>
      <c r="J49" s="14">
        <f>IF($H49='[1]Data source'!$C$10,'[1]Data source'!$D$10,IF($H49='[1]Data source'!$C$11,'[1]Data source'!$D$11,IF($H49='[1]Data source'!$C$12,'[1]Data source'!$D$12,IF($H49='[1]Data source'!$C$13,'[1]Data source'!$D$13,IF($H49='[1]Data source'!$C$14,'[1]Data source'!$D$14,0)))))*IF($I49='[1]Data source'!$C$19,'[1]Data source'!$D$19,IF($I49='[1]Data source'!$C$20,'[1]Data source'!$D$20,IF($I49='[1]Data source'!$C$21,'[1]Data source'!$D$21,IF($I49='[1]Data source'!$C$22,'[1]Data source'!$D$22,IF($H49='[1]Data source'!$C$23,'[1]Data source'!$D$23,0)))))</f>
        <v>16</v>
      </c>
      <c r="K49" s="15" t="str">
        <f t="shared" si="0"/>
        <v>Unacceptable</v>
      </c>
      <c r="L49" s="22" t="s">
        <v>230</v>
      </c>
      <c r="M49" s="13" t="s">
        <v>48</v>
      </c>
      <c r="N49" s="17">
        <f>(1-IF($M49='[1]Data source'!$C$27,'[1]Data source'!$D$27,IF($M49='[1]Data source'!$C$28,'[1]Data source'!$D$28,IF($M49='[1]Data source'!$C$29,'[1]Data source'!$D$29,IF($M49='[1]Data source'!$C$30,'[1]Data source'!$D$30,0)))))*J49</f>
        <v>9.6</v>
      </c>
      <c r="O49" s="16"/>
      <c r="P49" s="22"/>
      <c r="Q49" s="45"/>
      <c r="R49" s="34"/>
      <c r="S49" s="19"/>
    </row>
    <row r="50" spans="2:19" s="21" customFormat="1" ht="56.25" x14ac:dyDescent="0.2">
      <c r="B50" s="41"/>
      <c r="C50" s="9">
        <v>49</v>
      </c>
      <c r="D50" s="38" t="s">
        <v>231</v>
      </c>
      <c r="E50" s="19" t="s">
        <v>232</v>
      </c>
      <c r="F50" s="11"/>
      <c r="G50" s="19" t="s">
        <v>233</v>
      </c>
      <c r="H50" s="42" t="s">
        <v>221</v>
      </c>
      <c r="I50" s="42" t="s">
        <v>24</v>
      </c>
      <c r="J50" s="14">
        <f>IF($H50='[1]Data source'!$C$10,'[1]Data source'!$D$10,IF($H50='[1]Data source'!$C$11,'[1]Data source'!$D$11,IF($H50='[1]Data source'!$C$12,'[1]Data source'!$D$12,IF($H50='[1]Data source'!$C$13,'[1]Data source'!$D$13,IF($H50='[1]Data source'!$C$14,'[1]Data source'!$D$14,0)))))*IF($I50='[1]Data source'!$C$19,'[1]Data source'!$D$19,IF($I50='[1]Data source'!$C$20,'[1]Data source'!$D$20,IF($I50='[1]Data source'!$C$21,'[1]Data source'!$D$21,IF($I50='[1]Data source'!$C$22,'[1]Data source'!$D$22,IF($H50='[1]Data source'!$C$23,'[1]Data source'!$D$23,0)))))</f>
        <v>4</v>
      </c>
      <c r="K50" s="15" t="str">
        <f t="shared" si="0"/>
        <v>Acceptable</v>
      </c>
      <c r="L50" s="22" t="s">
        <v>234</v>
      </c>
      <c r="M50" s="13" t="s">
        <v>125</v>
      </c>
      <c r="N50" s="17">
        <f>(1-IF($M50='[1]Data source'!$C$27,'[1]Data source'!$D$27,IF($M50='[1]Data source'!$C$28,'[1]Data source'!$D$28,IF($M50='[1]Data source'!$C$29,'[1]Data source'!$D$29,IF($M50='[1]Data source'!$C$30,'[1]Data source'!$D$30,0)))))*J50</f>
        <v>1.6</v>
      </c>
      <c r="O50" s="16"/>
      <c r="P50" s="22"/>
      <c r="Q50" s="45"/>
      <c r="R50" s="34"/>
      <c r="S50" s="19"/>
    </row>
    <row r="51" spans="2:19" s="21" customFormat="1" ht="56.25" x14ac:dyDescent="0.2">
      <c r="B51" s="41"/>
      <c r="C51" s="9">
        <v>50</v>
      </c>
      <c r="D51" s="38" t="s">
        <v>235</v>
      </c>
      <c r="E51" s="19" t="s">
        <v>236</v>
      </c>
      <c r="F51" s="11"/>
      <c r="G51" s="22" t="s">
        <v>237</v>
      </c>
      <c r="H51" s="42" t="s">
        <v>46</v>
      </c>
      <c r="I51" s="42" t="s">
        <v>238</v>
      </c>
      <c r="J51" s="14">
        <f>IF($H51='[1]Data source'!$C$10,'[1]Data source'!$D$10,IF($H51='[1]Data source'!$C$11,'[1]Data source'!$D$11,IF($H51='[1]Data source'!$C$12,'[1]Data source'!$D$12,IF($H51='[1]Data source'!$C$13,'[1]Data source'!$D$13,IF($H51='[1]Data source'!$C$14,'[1]Data source'!$D$14,0)))))*IF($I51='[1]Data source'!$C$19,'[1]Data source'!$D$19,IF($I51='[1]Data source'!$C$20,'[1]Data source'!$D$20,IF($I51='[1]Data source'!$C$21,'[1]Data source'!$D$21,IF($I51='[1]Data source'!$C$22,'[1]Data source'!$D$22,IF($H51='[1]Data source'!$C$23,'[1]Data source'!$D$23,0)))))</f>
        <v>0</v>
      </c>
      <c r="K51" s="15" t="str">
        <f t="shared" si="0"/>
        <v>Acceptable</v>
      </c>
      <c r="L51" s="16" t="s">
        <v>239</v>
      </c>
      <c r="M51" s="13" t="s">
        <v>125</v>
      </c>
      <c r="N51" s="17">
        <f>(1-IF($M51='[1]Data source'!$C$27,'[1]Data source'!$D$27,IF($M51='[1]Data source'!$C$28,'[1]Data source'!$D$28,IF($M51='[1]Data source'!$C$29,'[1]Data source'!$D$29,IF($M51='[1]Data source'!$C$30,'[1]Data source'!$D$30,0)))))*J51</f>
        <v>0</v>
      </c>
      <c r="O51" s="16"/>
      <c r="P51" s="22"/>
      <c r="Q51" s="45"/>
      <c r="R51" s="34"/>
      <c r="S51" s="19"/>
    </row>
    <row r="52" spans="2:19" s="21" customFormat="1" ht="101.25" x14ac:dyDescent="0.2">
      <c r="B52" s="41"/>
      <c r="C52" s="9">
        <v>51</v>
      </c>
      <c r="D52" s="38" t="s">
        <v>240</v>
      </c>
      <c r="E52" s="19" t="s">
        <v>241</v>
      </c>
      <c r="F52" s="11"/>
      <c r="G52" s="22" t="s">
        <v>242</v>
      </c>
      <c r="H52" s="42" t="s">
        <v>23</v>
      </c>
      <c r="I52" s="42" t="s">
        <v>238</v>
      </c>
      <c r="J52" s="14">
        <f>IF($H52='[1]Data source'!$C$10,'[1]Data source'!$D$10,IF($H52='[1]Data source'!$C$11,'[1]Data source'!$D$11,IF($H52='[1]Data source'!$C$12,'[1]Data source'!$D$12,IF($H52='[1]Data source'!$C$13,'[1]Data source'!$D$13,IF($H52='[1]Data source'!$C$14,'[1]Data source'!$D$14,0)))))*IF($I52='[1]Data source'!$C$19,'[1]Data source'!$D$19,IF($I52='[1]Data source'!$C$20,'[1]Data source'!$D$20,IF($I52='[1]Data source'!$C$21,'[1]Data source'!$D$21,IF($I52='[1]Data source'!$C$22,'[1]Data source'!$D$22,IF($H52='[1]Data source'!$C$23,'[1]Data source'!$D$23,0)))))</f>
        <v>0</v>
      </c>
      <c r="K52" s="15" t="str">
        <f t="shared" si="0"/>
        <v>Acceptable</v>
      </c>
      <c r="L52" s="16" t="s">
        <v>243</v>
      </c>
      <c r="M52" s="13" t="s">
        <v>48</v>
      </c>
      <c r="N52" s="17">
        <f>(1-IF($M52='[1]Data source'!$C$27,'[1]Data source'!$D$27,IF($M52='[1]Data source'!$C$28,'[1]Data source'!$D$28,IF($M52='[1]Data source'!$C$29,'[1]Data source'!$D$29,IF($M52='[1]Data source'!$C$30,'[1]Data source'!$D$30,0)))))*J52</f>
        <v>0</v>
      </c>
      <c r="O52" s="16"/>
      <c r="P52" s="22"/>
      <c r="Q52" s="45"/>
      <c r="R52" s="34"/>
      <c r="S52" s="19"/>
    </row>
    <row r="53" spans="2:19" s="21" customFormat="1" ht="67.5" x14ac:dyDescent="0.2">
      <c r="B53" s="41"/>
      <c r="C53" s="9">
        <v>52</v>
      </c>
      <c r="D53" s="38" t="s">
        <v>244</v>
      </c>
      <c r="E53" s="19" t="s">
        <v>245</v>
      </c>
      <c r="F53" s="11"/>
      <c r="G53" s="22" t="s">
        <v>246</v>
      </c>
      <c r="H53" s="42" t="s">
        <v>46</v>
      </c>
      <c r="I53" s="42" t="s">
        <v>24</v>
      </c>
      <c r="J53" s="14">
        <f>IF($H53='[1]Data source'!$C$10,'[1]Data source'!$D$10,IF($H53='[1]Data source'!$C$11,'[1]Data source'!$D$11,IF($H53='[1]Data source'!$C$12,'[1]Data source'!$D$12,IF($H53='[1]Data source'!$C$13,'[1]Data source'!$D$13,IF($H53='[1]Data source'!$C$14,'[1]Data source'!$D$14,0)))))*IF($I53='[1]Data source'!$C$19,'[1]Data source'!$D$19,IF($I53='[1]Data source'!$C$20,'[1]Data source'!$D$20,IF($I53='[1]Data source'!$C$21,'[1]Data source'!$D$21,IF($I53='[1]Data source'!$C$22,'[1]Data source'!$D$22,IF($H53='[1]Data source'!$C$23,'[1]Data source'!$D$23,0)))))</f>
        <v>6</v>
      </c>
      <c r="K53" s="15" t="str">
        <f t="shared" si="0"/>
        <v>Action Advisable</v>
      </c>
      <c r="L53" s="16" t="s">
        <v>247</v>
      </c>
      <c r="M53" s="13" t="s">
        <v>26</v>
      </c>
      <c r="N53" s="17">
        <f>(1-IF($M53='[1]Data source'!$C$27,'[1]Data source'!$D$27,IF($M53='[1]Data source'!$C$28,'[1]Data source'!$D$28,IF($M53='[1]Data source'!$C$29,'[1]Data source'!$D$29,IF($M53='[1]Data source'!$C$30,'[1]Data source'!$D$30,0)))))*J53</f>
        <v>4.8000000000000007</v>
      </c>
      <c r="O53" s="16"/>
      <c r="P53" s="22"/>
      <c r="Q53" s="45"/>
      <c r="R53" s="34"/>
      <c r="S53" s="19"/>
    </row>
    <row r="54" spans="2:19" s="21" customFormat="1" ht="101.25" x14ac:dyDescent="0.2">
      <c r="B54" s="8" t="s">
        <v>248</v>
      </c>
      <c r="C54" s="9">
        <v>53</v>
      </c>
      <c r="D54" s="9" t="s">
        <v>249</v>
      </c>
      <c r="E54" s="19" t="s">
        <v>250</v>
      </c>
      <c r="F54" s="46" t="s">
        <v>251</v>
      </c>
      <c r="G54" s="22" t="s">
        <v>252</v>
      </c>
      <c r="H54" s="42" t="s">
        <v>23</v>
      </c>
      <c r="I54" s="42" t="s">
        <v>30</v>
      </c>
      <c r="J54" s="14">
        <f>IF($H54='[1]Data source'!$C$10,'[1]Data source'!$D$10,IF($H54='[1]Data source'!$C$11,'[1]Data source'!$D$11,IF($H54='[1]Data source'!$C$12,'[1]Data source'!$D$12,IF($H54='[1]Data source'!$C$13,'[1]Data source'!$D$13,IF($H54='[1]Data source'!$C$14,'[1]Data source'!$D$14,0)))))*IF($I54='[1]Data source'!$C$19,'[1]Data source'!$D$19,IF($I54='[1]Data source'!$C$20,'[1]Data source'!$D$20,IF($I54='[1]Data source'!$C$21,'[1]Data source'!$D$21,IF($I54='[1]Data source'!$C$22,'[1]Data source'!$D$22,IF($H54='[1]Data source'!$C$23,'[1]Data source'!$D$23,0)))))</f>
        <v>12</v>
      </c>
      <c r="K54" s="15" t="str">
        <f t="shared" si="0"/>
        <v>Action Required</v>
      </c>
      <c r="L54" s="16" t="s">
        <v>253</v>
      </c>
      <c r="M54" s="13" t="s">
        <v>125</v>
      </c>
      <c r="N54" s="17">
        <f>(1-IF($M54='[1]Data source'!$C$27,'[1]Data source'!$D$27,IF($M54='[1]Data source'!$C$28,'[1]Data source'!$D$28,IF($M54='[1]Data source'!$C$29,'[1]Data source'!$D$29,IF($M54='[1]Data source'!$C$30,'[1]Data source'!$D$30,0)))))*J54</f>
        <v>4.8000000000000007</v>
      </c>
      <c r="O54" s="16"/>
      <c r="P54" s="22"/>
      <c r="Q54" s="45"/>
      <c r="R54" s="34"/>
      <c r="S54" s="19"/>
    </row>
    <row r="55" spans="2:19" s="21" customFormat="1" ht="90" x14ac:dyDescent="0.2">
      <c r="B55" s="8"/>
      <c r="C55" s="9">
        <v>54</v>
      </c>
      <c r="D55" s="9" t="s">
        <v>254</v>
      </c>
      <c r="E55" s="19" t="s">
        <v>255</v>
      </c>
      <c r="F55" s="46"/>
      <c r="G55" s="22" t="s">
        <v>256</v>
      </c>
      <c r="H55" s="42" t="s">
        <v>23</v>
      </c>
      <c r="I55" s="42" t="s">
        <v>30</v>
      </c>
      <c r="J55" s="14">
        <f>IF($H55='[1]Data source'!$C$10,'[1]Data source'!$D$10,IF($H55='[1]Data source'!$C$11,'[1]Data source'!$D$11,IF($H55='[1]Data source'!$C$12,'[1]Data source'!$D$12,IF($H55='[1]Data source'!$C$13,'[1]Data source'!$D$13,IF($H55='[1]Data source'!$C$14,'[1]Data source'!$D$14,0)))))*IF($I55='[1]Data source'!$C$19,'[1]Data source'!$D$19,IF($I55='[1]Data source'!$C$20,'[1]Data source'!$D$20,IF($I55='[1]Data source'!$C$21,'[1]Data source'!$D$21,IF($I55='[1]Data source'!$C$22,'[1]Data source'!$D$22,IF($H55='[1]Data source'!$C$23,'[1]Data source'!$D$23,0)))))</f>
        <v>12</v>
      </c>
      <c r="K55" s="15" t="str">
        <f t="shared" si="0"/>
        <v>Action Required</v>
      </c>
      <c r="L55" s="16" t="s">
        <v>257</v>
      </c>
      <c r="M55" s="13" t="s">
        <v>125</v>
      </c>
      <c r="N55" s="17">
        <f>(1-IF($M55='[1]Data source'!$C$27,'[1]Data source'!$D$27,IF($M55='[1]Data source'!$C$28,'[1]Data source'!$D$28,IF($M55='[1]Data source'!$C$29,'[1]Data source'!$D$29,IF($M55='[1]Data source'!$C$30,'[1]Data source'!$D$30,0)))))*J55</f>
        <v>4.8000000000000007</v>
      </c>
      <c r="O55" s="16"/>
      <c r="P55" s="22"/>
      <c r="Q55" s="45"/>
      <c r="R55" s="34"/>
      <c r="S55" s="19"/>
    </row>
    <row r="56" spans="2:19" s="21" customFormat="1" ht="101.25" x14ac:dyDescent="0.2">
      <c r="B56" s="8"/>
      <c r="C56" s="9">
        <v>55</v>
      </c>
      <c r="D56" s="9" t="s">
        <v>258</v>
      </c>
      <c r="E56" s="19" t="s">
        <v>259</v>
      </c>
      <c r="F56" s="46"/>
      <c r="G56" s="22" t="s">
        <v>260</v>
      </c>
      <c r="H56" s="42" t="s">
        <v>23</v>
      </c>
      <c r="I56" s="42" t="s">
        <v>238</v>
      </c>
      <c r="J56" s="14">
        <f>IF($H56='[1]Data source'!$C$10,'[1]Data source'!$D$10,IF($H56='[1]Data source'!$C$11,'[1]Data source'!$D$11,IF($H56='[1]Data source'!$C$12,'[1]Data source'!$D$12,IF($H56='[1]Data source'!$C$13,'[1]Data source'!$D$13,IF($H56='[1]Data source'!$C$14,'[1]Data source'!$D$14,0)))))*IF($I56='[1]Data source'!$C$19,'[1]Data source'!$D$19,IF($I56='[1]Data source'!$C$20,'[1]Data source'!$D$20,IF($I56='[1]Data source'!$C$21,'[1]Data source'!$D$21,IF($I56='[1]Data source'!$C$22,'[1]Data source'!$D$22,IF($H56='[1]Data source'!$C$23,'[1]Data source'!$D$23,0)))))</f>
        <v>0</v>
      </c>
      <c r="K56" s="15" t="str">
        <f t="shared" si="0"/>
        <v>Acceptable</v>
      </c>
      <c r="L56" s="16" t="s">
        <v>261</v>
      </c>
      <c r="M56" s="13" t="s">
        <v>125</v>
      </c>
      <c r="N56" s="17">
        <f>(1-IF($M56='[1]Data source'!$C$27,'[1]Data source'!$D$27,IF($M56='[1]Data source'!$C$28,'[1]Data source'!$D$28,IF($M56='[1]Data source'!$C$29,'[1]Data source'!$D$29,IF($M56='[1]Data source'!$C$30,'[1]Data source'!$D$30,0)))))*J56</f>
        <v>0</v>
      </c>
      <c r="O56" s="16"/>
      <c r="P56" s="22"/>
      <c r="Q56" s="45"/>
      <c r="R56" s="34"/>
      <c r="S56" s="19"/>
    </row>
    <row r="57" spans="2:19" s="21" customFormat="1" ht="67.5" x14ac:dyDescent="0.2">
      <c r="B57" s="8"/>
      <c r="C57" s="9">
        <v>56</v>
      </c>
      <c r="D57" s="9" t="s">
        <v>262</v>
      </c>
      <c r="E57" s="19" t="s">
        <v>263</v>
      </c>
      <c r="F57" s="46"/>
      <c r="G57" s="22" t="s">
        <v>264</v>
      </c>
      <c r="H57" s="42" t="s">
        <v>23</v>
      </c>
      <c r="I57" s="42" t="s">
        <v>24</v>
      </c>
      <c r="J57" s="14">
        <f>IF($H57='[1]Data source'!$C$10,'[1]Data source'!$D$10,IF($H57='[1]Data source'!$C$11,'[1]Data source'!$D$11,IF($H57='[1]Data source'!$C$12,'[1]Data source'!$D$12,IF($H57='[1]Data source'!$C$13,'[1]Data source'!$D$13,IF($H57='[1]Data source'!$C$14,'[1]Data source'!$D$14,0)))))*IF($I57='[1]Data source'!$C$19,'[1]Data source'!$D$19,IF($I57='[1]Data source'!$C$20,'[1]Data source'!$D$20,IF($I57='[1]Data source'!$C$21,'[1]Data source'!$D$21,IF($I57='[1]Data source'!$C$22,'[1]Data source'!$D$22,IF($H57='[1]Data source'!$C$23,'[1]Data source'!$D$23,0)))))</f>
        <v>8</v>
      </c>
      <c r="K57" s="15" t="str">
        <f t="shared" si="0"/>
        <v>Action Advisable</v>
      </c>
      <c r="L57" s="16" t="s">
        <v>265</v>
      </c>
      <c r="M57" s="13" t="s">
        <v>48</v>
      </c>
      <c r="N57" s="17">
        <f>(1-IF($M57='[1]Data source'!$C$27,'[1]Data source'!$D$27,IF($M57='[1]Data source'!$C$28,'[1]Data source'!$D$28,IF($M57='[1]Data source'!$C$29,'[1]Data source'!$D$29,IF($M57='[1]Data source'!$C$30,'[1]Data source'!$D$30,0)))))*J57</f>
        <v>4.8</v>
      </c>
      <c r="O57" s="16"/>
      <c r="P57" s="22"/>
      <c r="Q57" s="45"/>
      <c r="R57" s="34"/>
      <c r="S57" s="19"/>
    </row>
    <row r="58" spans="2:19" s="21" customFormat="1" ht="67.5" x14ac:dyDescent="0.2">
      <c r="B58" s="8"/>
      <c r="C58" s="9">
        <v>57</v>
      </c>
      <c r="D58" s="9" t="s">
        <v>266</v>
      </c>
      <c r="E58" s="19" t="s">
        <v>267</v>
      </c>
      <c r="F58" s="46"/>
      <c r="G58" s="22" t="s">
        <v>268</v>
      </c>
      <c r="H58" s="42" t="s">
        <v>23</v>
      </c>
      <c r="I58" s="42" t="s">
        <v>238</v>
      </c>
      <c r="J58" s="14">
        <f>IF($H58='[1]Data source'!$C$10,'[1]Data source'!$D$10,IF($H58='[1]Data source'!$C$11,'[1]Data source'!$D$11,IF($H58='[1]Data source'!$C$12,'[1]Data source'!$D$12,IF($H58='[1]Data source'!$C$13,'[1]Data source'!$D$13,IF($H58='[1]Data source'!$C$14,'[1]Data source'!$D$14,0)))))*IF($I58='[1]Data source'!$C$19,'[1]Data source'!$D$19,IF($I58='[1]Data source'!$C$20,'[1]Data source'!$D$20,IF($I58='[1]Data source'!$C$21,'[1]Data source'!$D$21,IF($I58='[1]Data source'!$C$22,'[1]Data source'!$D$22,IF($H58='[1]Data source'!$C$23,'[1]Data source'!$D$23,0)))))</f>
        <v>0</v>
      </c>
      <c r="K58" s="15" t="str">
        <f t="shared" si="0"/>
        <v>Acceptable</v>
      </c>
      <c r="L58" s="16" t="s">
        <v>269</v>
      </c>
      <c r="M58" s="13" t="s">
        <v>125</v>
      </c>
      <c r="N58" s="17">
        <f>(1-IF($M58='[1]Data source'!$C$27,'[1]Data source'!$D$27,IF($M58='[1]Data source'!$C$28,'[1]Data source'!$D$28,IF($M58='[1]Data source'!$C$29,'[1]Data source'!$D$29,IF($M58='[1]Data source'!$C$30,'[1]Data source'!$D$30,0)))))*J58</f>
        <v>0</v>
      </c>
      <c r="O58" s="16"/>
      <c r="P58" s="22"/>
      <c r="Q58" s="45"/>
      <c r="R58" s="34"/>
      <c r="S58" s="19"/>
    </row>
    <row r="59" spans="2:19" s="21" customFormat="1" ht="78.75" x14ac:dyDescent="0.2">
      <c r="B59" s="8"/>
      <c r="C59" s="9">
        <v>58</v>
      </c>
      <c r="D59" s="9" t="s">
        <v>270</v>
      </c>
      <c r="E59" s="19" t="s">
        <v>271</v>
      </c>
      <c r="F59" s="46"/>
      <c r="G59" s="22" t="s">
        <v>272</v>
      </c>
      <c r="H59" s="42" t="s">
        <v>23</v>
      </c>
      <c r="I59" s="42" t="s">
        <v>238</v>
      </c>
      <c r="J59" s="14">
        <f>IF($H59='[1]Data source'!$C$10,'[1]Data source'!$D$10,IF($H59='[1]Data source'!$C$11,'[1]Data source'!$D$11,IF($H59='[1]Data source'!$C$12,'[1]Data source'!$D$12,IF($H59='[1]Data source'!$C$13,'[1]Data source'!$D$13,IF($H59='[1]Data source'!$C$14,'[1]Data source'!$D$14,0)))))*IF($I59='[1]Data source'!$C$19,'[1]Data source'!$D$19,IF($I59='[1]Data source'!$C$20,'[1]Data source'!$D$20,IF($I59='[1]Data source'!$C$21,'[1]Data source'!$D$21,IF($I59='[1]Data source'!$C$22,'[1]Data source'!$D$22,IF($H59='[1]Data source'!$C$23,'[1]Data source'!$D$23,0)))))</f>
        <v>0</v>
      </c>
      <c r="K59" s="15" t="str">
        <f t="shared" si="0"/>
        <v>Acceptable</v>
      </c>
      <c r="L59" s="16" t="s">
        <v>273</v>
      </c>
      <c r="M59" s="13" t="s">
        <v>125</v>
      </c>
      <c r="N59" s="17">
        <f>(1-IF($M59='[1]Data source'!$C$27,'[1]Data source'!$D$27,IF($M59='[1]Data source'!$C$28,'[1]Data source'!$D$28,IF($M59='[1]Data source'!$C$29,'[1]Data source'!$D$29,IF($M59='[1]Data source'!$C$30,'[1]Data source'!$D$30,0)))))*J59</f>
        <v>0</v>
      </c>
      <c r="O59" s="16"/>
      <c r="P59" s="22"/>
      <c r="Q59" s="45"/>
      <c r="R59" s="34"/>
      <c r="S59" s="19"/>
    </row>
    <row r="60" spans="2:19" s="21" customFormat="1" ht="78.75" x14ac:dyDescent="0.2">
      <c r="B60" s="8"/>
      <c r="C60" s="9">
        <v>59</v>
      </c>
      <c r="D60" s="9" t="s">
        <v>274</v>
      </c>
      <c r="E60" s="19" t="s">
        <v>275</v>
      </c>
      <c r="F60" s="46"/>
      <c r="G60" s="22" t="s">
        <v>276</v>
      </c>
      <c r="H60" s="42" t="s">
        <v>46</v>
      </c>
      <c r="I60" s="42" t="s">
        <v>41</v>
      </c>
      <c r="J60" s="14">
        <f>IF($H60='[1]Data source'!$C$10,'[1]Data source'!$D$10,IF($H60='[1]Data source'!$C$11,'[1]Data source'!$D$11,IF($H60='[1]Data source'!$C$12,'[1]Data source'!$D$12,IF($H60='[1]Data source'!$C$13,'[1]Data source'!$D$13,IF($H60='[1]Data source'!$C$14,'[1]Data source'!$D$14,0)))))*IF($I60='[1]Data source'!$C$19,'[1]Data source'!$D$19,IF($I60='[1]Data source'!$C$20,'[1]Data source'!$D$20,IF($I60='[1]Data source'!$C$21,'[1]Data source'!$D$21,IF($I60='[1]Data source'!$C$22,'[1]Data source'!$D$22,IF($H60='[1]Data source'!$C$23,'[1]Data source'!$D$23,0)))))</f>
        <v>12</v>
      </c>
      <c r="K60" s="15" t="str">
        <f t="shared" si="0"/>
        <v>Action Required</v>
      </c>
      <c r="L60" s="16" t="s">
        <v>277</v>
      </c>
      <c r="M60" s="13" t="s">
        <v>48</v>
      </c>
      <c r="N60" s="17">
        <f>(1-IF($M60='[1]Data source'!$C$27,'[1]Data source'!$D$27,IF($M60='[1]Data source'!$C$28,'[1]Data source'!$D$28,IF($M60='[1]Data source'!$C$29,'[1]Data source'!$D$29,IF($M60='[1]Data source'!$C$30,'[1]Data source'!$D$30,0)))))*J60</f>
        <v>7.1999999999999993</v>
      </c>
      <c r="O60" s="16"/>
      <c r="P60" s="22"/>
      <c r="Q60" s="45"/>
      <c r="R60" s="34"/>
      <c r="S60" s="19"/>
    </row>
    <row r="61" spans="2:19" s="21" customFormat="1" ht="67.5" x14ac:dyDescent="0.2">
      <c r="B61" s="8"/>
      <c r="C61" s="9">
        <v>60</v>
      </c>
      <c r="D61" s="9" t="s">
        <v>278</v>
      </c>
      <c r="E61" s="19" t="s">
        <v>279</v>
      </c>
      <c r="F61" s="46"/>
      <c r="G61" s="22" t="s">
        <v>280</v>
      </c>
      <c r="H61" s="42" t="s">
        <v>40</v>
      </c>
      <c r="I61" s="42" t="s">
        <v>41</v>
      </c>
      <c r="J61" s="14">
        <f>IF($H61='[1]Data source'!$C$10,'[1]Data source'!$D$10,IF($H61='[1]Data source'!$C$11,'[1]Data source'!$D$11,IF($H61='[1]Data source'!$C$12,'[1]Data source'!$D$12,IF($H61='[1]Data source'!$C$13,'[1]Data source'!$D$13,IF($H61='[1]Data source'!$C$14,'[1]Data source'!$D$14,0)))))*IF($I61='[1]Data source'!$C$19,'[1]Data source'!$D$19,IF($I61='[1]Data source'!$C$20,'[1]Data source'!$D$20,IF($I61='[1]Data source'!$C$21,'[1]Data source'!$D$21,IF($I61='[1]Data source'!$C$22,'[1]Data source'!$D$22,IF($H61='[1]Data source'!$C$23,'[1]Data source'!$D$23,0)))))</f>
        <v>20</v>
      </c>
      <c r="K61" s="15" t="str">
        <f t="shared" si="0"/>
        <v>Unacceptable</v>
      </c>
      <c r="L61" s="16" t="s">
        <v>281</v>
      </c>
      <c r="M61" s="13" t="s">
        <v>282</v>
      </c>
      <c r="N61" s="17">
        <f>(1-IF($M61='[1]Data source'!$C$27,'[1]Data source'!$D$27,IF($M61='[1]Data source'!$C$28,'[1]Data source'!$D$28,IF($M61='[1]Data source'!$C$29,'[1]Data source'!$D$29,IF($M61='[1]Data source'!$C$30,'[1]Data source'!$D$30,0)))))*J61</f>
        <v>3.9999999999999991</v>
      </c>
      <c r="O61" s="16"/>
      <c r="P61" s="22"/>
      <c r="Q61" s="45"/>
      <c r="R61" s="34"/>
      <c r="S61" s="19"/>
    </row>
    <row r="62" spans="2:19" s="21" customFormat="1" ht="45" x14ac:dyDescent="0.2">
      <c r="B62" s="8"/>
      <c r="C62" s="9">
        <v>61</v>
      </c>
      <c r="D62" s="9" t="s">
        <v>283</v>
      </c>
      <c r="E62" s="19" t="s">
        <v>284</v>
      </c>
      <c r="F62" s="46"/>
      <c r="G62" s="22" t="s">
        <v>285</v>
      </c>
      <c r="H62" s="42" t="s">
        <v>23</v>
      </c>
      <c r="I62" s="42" t="s">
        <v>35</v>
      </c>
      <c r="J62" s="14">
        <f>IF($H62='[1]Data source'!$C$10,'[1]Data source'!$D$10,IF($H62='[1]Data source'!$C$11,'[1]Data source'!$D$11,IF($H62='[1]Data source'!$C$12,'[1]Data source'!$D$12,IF($H62='[1]Data source'!$C$13,'[1]Data source'!$D$13,IF($H62='[1]Data source'!$C$14,'[1]Data source'!$D$14,0)))))*IF($I62='[1]Data source'!$C$19,'[1]Data source'!$D$19,IF($I62='[1]Data source'!$C$20,'[1]Data source'!$D$20,IF($I62='[1]Data source'!$C$21,'[1]Data source'!$D$21,IF($I62='[1]Data source'!$C$22,'[1]Data source'!$D$22,IF($H62='[1]Data source'!$C$23,'[1]Data source'!$D$23,0)))))</f>
        <v>20</v>
      </c>
      <c r="K62" s="15" t="str">
        <f t="shared" si="0"/>
        <v>Unacceptable</v>
      </c>
      <c r="L62" s="16" t="s">
        <v>286</v>
      </c>
      <c r="M62" s="13" t="s">
        <v>26</v>
      </c>
      <c r="N62" s="17">
        <f>(1-IF($M62='[1]Data source'!$C$27,'[1]Data source'!$D$27,IF($M62='[1]Data source'!$C$28,'[1]Data source'!$D$28,IF($M62='[1]Data source'!$C$29,'[1]Data source'!$D$29,IF($M62='[1]Data source'!$C$30,'[1]Data source'!$D$30,0)))))*J62</f>
        <v>16</v>
      </c>
      <c r="O62" s="16"/>
      <c r="P62" s="22"/>
      <c r="Q62" s="45"/>
      <c r="R62" s="34"/>
      <c r="S62" s="19"/>
    </row>
    <row r="63" spans="2:19" s="21" customFormat="1" ht="78.75" x14ac:dyDescent="0.2">
      <c r="B63" s="8" t="s">
        <v>287</v>
      </c>
      <c r="C63" s="9">
        <v>62</v>
      </c>
      <c r="D63" s="9" t="s">
        <v>288</v>
      </c>
      <c r="E63" s="19" t="s">
        <v>289</v>
      </c>
      <c r="F63" s="46" t="s">
        <v>290</v>
      </c>
      <c r="G63" s="22" t="s">
        <v>291</v>
      </c>
      <c r="H63" s="42" t="s">
        <v>23</v>
      </c>
      <c r="I63" s="42" t="s">
        <v>35</v>
      </c>
      <c r="J63" s="14">
        <f>IF($H63='[1]Data source'!$C$10,'[1]Data source'!$D$10,IF($H63='[1]Data source'!$C$11,'[1]Data source'!$D$11,IF($H63='[1]Data source'!$C$12,'[1]Data source'!$D$12,IF($H63='[1]Data source'!$C$13,'[1]Data source'!$D$13,IF($H63='[1]Data source'!$C$14,'[1]Data source'!$D$14,0)))))*IF($I63='[1]Data source'!$C$19,'[1]Data source'!$D$19,IF($I63='[1]Data source'!$C$20,'[1]Data source'!$D$20,IF($I63='[1]Data source'!$C$21,'[1]Data source'!$D$21,IF($I63='[1]Data source'!$C$22,'[1]Data source'!$D$22,IF($H63='[1]Data source'!$C$23,'[1]Data source'!$D$23,0)))))</f>
        <v>20</v>
      </c>
      <c r="K63" s="15" t="str">
        <f t="shared" si="0"/>
        <v>Unacceptable</v>
      </c>
      <c r="L63" s="16" t="s">
        <v>292</v>
      </c>
      <c r="M63" s="13" t="s">
        <v>26</v>
      </c>
      <c r="N63" s="17">
        <f>(1-IF($M63='[1]Data source'!$C$27,'[1]Data source'!$D$27,IF($M63='[1]Data source'!$C$28,'[1]Data source'!$D$28,IF($M63='[1]Data source'!$C$29,'[1]Data source'!$D$29,IF($M63='[1]Data source'!$C$30,'[1]Data source'!$D$30,0)))))*J63</f>
        <v>16</v>
      </c>
      <c r="O63" s="16"/>
      <c r="P63" s="22"/>
      <c r="Q63" s="45"/>
      <c r="R63" s="34"/>
      <c r="S63" s="19"/>
    </row>
    <row r="64" spans="2:19" s="21" customFormat="1" ht="90" x14ac:dyDescent="0.2">
      <c r="B64" s="8"/>
      <c r="C64" s="9">
        <v>63</v>
      </c>
      <c r="D64" s="9" t="s">
        <v>293</v>
      </c>
      <c r="E64" s="19" t="s">
        <v>294</v>
      </c>
      <c r="F64" s="46"/>
      <c r="G64" s="22" t="s">
        <v>295</v>
      </c>
      <c r="H64" s="42" t="s">
        <v>40</v>
      </c>
      <c r="I64" s="42" t="s">
        <v>41</v>
      </c>
      <c r="J64" s="14">
        <f>IF($H64='[1]Data source'!$C$10,'[1]Data source'!$D$10,IF($H64='[1]Data source'!$C$11,'[1]Data source'!$D$11,IF($H64='[1]Data source'!$C$12,'[1]Data source'!$D$12,IF($H64='[1]Data source'!$C$13,'[1]Data source'!$D$13,IF($H64='[1]Data source'!$C$14,'[1]Data source'!$D$14,0)))))*IF($I64='[1]Data source'!$C$19,'[1]Data source'!$D$19,IF($I64='[1]Data source'!$C$20,'[1]Data source'!$D$20,IF($I64='[1]Data source'!$C$21,'[1]Data source'!$D$21,IF($I64='[1]Data source'!$C$22,'[1]Data source'!$D$22,IF($H64='[1]Data source'!$C$23,'[1]Data source'!$D$23,0)))))</f>
        <v>20</v>
      </c>
      <c r="K64" s="15" t="str">
        <f t="shared" si="0"/>
        <v>Unacceptable</v>
      </c>
      <c r="L64" s="16" t="s">
        <v>296</v>
      </c>
      <c r="M64" s="13" t="s">
        <v>26</v>
      </c>
      <c r="N64" s="17">
        <f>(1-IF($M64='[1]Data source'!$C$27,'[1]Data source'!$D$27,IF($M64='[1]Data source'!$C$28,'[1]Data source'!$D$28,IF($M64='[1]Data source'!$C$29,'[1]Data source'!$D$29,IF($M64='[1]Data source'!$C$30,'[1]Data source'!$D$30,0)))))*J64</f>
        <v>16</v>
      </c>
      <c r="O64" s="16"/>
      <c r="P64" s="22"/>
      <c r="Q64" s="45"/>
      <c r="R64" s="34"/>
      <c r="S64" s="19"/>
    </row>
    <row r="65" spans="2:20" s="21" customFormat="1" ht="56.25" x14ac:dyDescent="0.2">
      <c r="B65" s="8"/>
      <c r="C65" s="9">
        <v>64</v>
      </c>
      <c r="D65" s="9" t="s">
        <v>297</v>
      </c>
      <c r="E65" s="19" t="s">
        <v>298</v>
      </c>
      <c r="F65" s="46"/>
      <c r="G65" s="22" t="s">
        <v>299</v>
      </c>
      <c r="H65" s="42" t="s">
        <v>23</v>
      </c>
      <c r="I65" s="42" t="s">
        <v>35</v>
      </c>
      <c r="J65" s="14">
        <f>IF($H65='[1]Data source'!$C$10,'[1]Data source'!$D$10,IF($H65='[1]Data source'!$C$11,'[1]Data source'!$D$11,IF($H65='[1]Data source'!$C$12,'[1]Data source'!$D$12,IF($H65='[1]Data source'!$C$13,'[1]Data source'!$D$13,IF($H65='[1]Data source'!$C$14,'[1]Data source'!$D$14,0)))))*IF($I65='[1]Data source'!$C$19,'[1]Data source'!$D$19,IF($I65='[1]Data source'!$C$20,'[1]Data source'!$D$20,IF($I65='[1]Data source'!$C$21,'[1]Data source'!$D$21,IF($I65='[1]Data source'!$C$22,'[1]Data source'!$D$22,IF($H65='[1]Data source'!$C$23,'[1]Data source'!$D$23,0)))))</f>
        <v>20</v>
      </c>
      <c r="K65" s="15" t="str">
        <f t="shared" si="0"/>
        <v>Unacceptable</v>
      </c>
      <c r="L65" s="16" t="s">
        <v>300</v>
      </c>
      <c r="M65" s="13" t="s">
        <v>26</v>
      </c>
      <c r="N65" s="17">
        <f>(1-IF($M65='[1]Data source'!$C$27,'[1]Data source'!$D$27,IF($M65='[1]Data source'!$C$28,'[1]Data source'!$D$28,IF($M65='[1]Data source'!$C$29,'[1]Data source'!$D$29,IF($M65='[1]Data source'!$C$30,'[1]Data source'!$D$30,0)))))*J65</f>
        <v>16</v>
      </c>
      <c r="O65" s="16"/>
      <c r="P65" s="22"/>
      <c r="Q65" s="45"/>
      <c r="R65" s="34"/>
      <c r="S65" s="19"/>
    </row>
    <row r="66" spans="2:20" s="21" customFormat="1" ht="78.75" x14ac:dyDescent="0.2">
      <c r="B66" s="8"/>
      <c r="C66" s="9">
        <v>65</v>
      </c>
      <c r="D66" s="9" t="s">
        <v>301</v>
      </c>
      <c r="E66" s="19" t="s">
        <v>302</v>
      </c>
      <c r="F66" s="46"/>
      <c r="G66" s="22" t="s">
        <v>303</v>
      </c>
      <c r="H66" s="42" t="s">
        <v>23</v>
      </c>
      <c r="I66" s="42" t="s">
        <v>35</v>
      </c>
      <c r="J66" s="14">
        <f>IF($H66='[1]Data source'!$C$10,'[1]Data source'!$D$10,IF($H66='[1]Data source'!$C$11,'[1]Data source'!$D$11,IF($H66='[1]Data source'!$C$12,'[1]Data source'!$D$12,IF($H66='[1]Data source'!$C$13,'[1]Data source'!$D$13,IF($H66='[1]Data source'!$C$14,'[1]Data source'!$D$14,0)))))*IF($I66='[1]Data source'!$C$19,'[1]Data source'!$D$19,IF($I66='[1]Data source'!$C$20,'[1]Data source'!$D$20,IF($I66='[1]Data source'!$C$21,'[1]Data source'!$D$21,IF($I66='[1]Data source'!$C$22,'[1]Data source'!$D$22,IF($H66='[1]Data source'!$C$23,'[1]Data source'!$D$23,0)))))</f>
        <v>20</v>
      </c>
      <c r="K66" s="15" t="str">
        <f t="shared" si="0"/>
        <v>Unacceptable</v>
      </c>
      <c r="L66" s="16" t="s">
        <v>304</v>
      </c>
      <c r="M66" s="13" t="s">
        <v>26</v>
      </c>
      <c r="N66" s="17">
        <f>(1-IF($M66='[1]Data source'!$C$27,'[1]Data source'!$D$27,IF($M66='[1]Data source'!$C$28,'[1]Data source'!$D$28,IF($M66='[1]Data source'!$C$29,'[1]Data source'!$D$29,IF($M66='[1]Data source'!$C$30,'[1]Data source'!$D$30,0)))))*J66</f>
        <v>16</v>
      </c>
      <c r="O66" s="16"/>
      <c r="P66" s="22"/>
      <c r="Q66" s="45"/>
      <c r="R66" s="34"/>
      <c r="S66" s="19"/>
    </row>
    <row r="67" spans="2:20" s="21" customFormat="1" ht="101.25" x14ac:dyDescent="0.2">
      <c r="B67" s="8" t="s">
        <v>305</v>
      </c>
      <c r="C67" s="9">
        <v>66</v>
      </c>
      <c r="D67" s="9" t="s">
        <v>306</v>
      </c>
      <c r="E67" s="19" t="s">
        <v>307</v>
      </c>
      <c r="F67" s="11" t="s">
        <v>308</v>
      </c>
      <c r="G67" s="22" t="s">
        <v>309</v>
      </c>
      <c r="H67" s="42" t="s">
        <v>40</v>
      </c>
      <c r="I67" s="42" t="s">
        <v>41</v>
      </c>
      <c r="J67" s="14">
        <f>IF($H67='[1]Data source'!$C$10,'[1]Data source'!$D$10,IF($H67='[1]Data source'!$C$11,'[1]Data source'!$D$11,IF($H67='[1]Data source'!$C$12,'[1]Data source'!$D$12,IF($H67='[1]Data source'!$C$13,'[1]Data source'!$D$13,IF($H67='[1]Data source'!$C$14,'[1]Data source'!$D$14,0)))))*IF($I67='[1]Data source'!$C$19,'[1]Data source'!$D$19,IF($I67='[1]Data source'!$C$20,'[1]Data source'!$D$20,IF($I67='[1]Data source'!$C$21,'[1]Data source'!$D$21,IF($I67='[1]Data source'!$C$22,'[1]Data source'!$D$22,IF($H67='[1]Data source'!$C$23,'[1]Data source'!$D$23,0)))))</f>
        <v>20</v>
      </c>
      <c r="K67" s="15" t="str">
        <f t="shared" si="0"/>
        <v>Unacceptable</v>
      </c>
      <c r="L67" s="16" t="s">
        <v>310</v>
      </c>
      <c r="M67" s="13" t="s">
        <v>26</v>
      </c>
      <c r="N67" s="17">
        <f>(1-IF($M67='[1]Data source'!$C$27,'[1]Data source'!$D$27,IF($M67='[1]Data source'!$C$28,'[1]Data source'!$D$28,IF($M67='[1]Data source'!$C$29,'[1]Data source'!$D$29,IF($M67='[1]Data source'!$C$30,'[1]Data source'!$D$30,0)))))*J67</f>
        <v>16</v>
      </c>
      <c r="O67" s="16"/>
      <c r="P67" s="22"/>
      <c r="Q67" s="45"/>
      <c r="R67" s="34"/>
      <c r="S67" s="19"/>
    </row>
    <row r="68" spans="2:20" s="21" customFormat="1" ht="56.25" x14ac:dyDescent="0.2">
      <c r="B68" s="8"/>
      <c r="C68" s="9">
        <v>67</v>
      </c>
      <c r="D68" s="9" t="s">
        <v>311</v>
      </c>
      <c r="E68" s="19" t="s">
        <v>312</v>
      </c>
      <c r="F68" s="11"/>
      <c r="G68" s="22" t="s">
        <v>313</v>
      </c>
      <c r="H68" s="42" t="s">
        <v>23</v>
      </c>
      <c r="I68" s="42" t="s">
        <v>30</v>
      </c>
      <c r="J68" s="14">
        <f>IF($H68='[1]Data source'!$C$10,'[1]Data source'!$D$10,IF($H68='[1]Data source'!$C$11,'[1]Data source'!$D$11,IF($H68='[1]Data source'!$C$12,'[1]Data source'!$D$12,IF($H68='[1]Data source'!$C$13,'[1]Data source'!$D$13,IF($H68='[1]Data source'!$C$14,'[1]Data source'!$D$14,0)))))*IF($I68='[1]Data source'!$C$19,'[1]Data source'!$D$19,IF($I68='[1]Data source'!$C$20,'[1]Data source'!$D$20,IF($I68='[1]Data source'!$C$21,'[1]Data source'!$D$21,IF($I68='[1]Data source'!$C$22,'[1]Data source'!$D$22,IF($H68='[1]Data source'!$C$23,'[1]Data source'!$D$23,0)))))</f>
        <v>12</v>
      </c>
      <c r="K68" s="15" t="str">
        <f t="shared" ref="K68:K73" si="1">IF(J68&lt;=4,"Acceptable",IF(J68&lt;=8,"Action Advisable",IF(J68&lt;=12,"Action Required","Unacceptable")))</f>
        <v>Action Required</v>
      </c>
      <c r="L68" s="16" t="s">
        <v>314</v>
      </c>
      <c r="M68" s="13" t="s">
        <v>26</v>
      </c>
      <c r="N68" s="17">
        <f>(1-IF($M68='[1]Data source'!$C$27,'[1]Data source'!$D$27,IF($M68='[1]Data source'!$C$28,'[1]Data source'!$D$28,IF($M68='[1]Data source'!$C$29,'[1]Data source'!$D$29,IF($M68='[1]Data source'!$C$30,'[1]Data source'!$D$30,0)))))*J68</f>
        <v>9.6000000000000014</v>
      </c>
      <c r="O68" s="16"/>
      <c r="P68" s="22"/>
      <c r="Q68" s="45"/>
      <c r="R68" s="34"/>
      <c r="S68" s="19"/>
    </row>
    <row r="69" spans="2:20" s="21" customFormat="1" ht="67.5" x14ac:dyDescent="0.2">
      <c r="B69" s="8"/>
      <c r="C69" s="9">
        <v>68</v>
      </c>
      <c r="D69" s="9" t="s">
        <v>315</v>
      </c>
      <c r="E69" s="19" t="s">
        <v>316</v>
      </c>
      <c r="F69" s="11"/>
      <c r="G69" s="22" t="s">
        <v>317</v>
      </c>
      <c r="H69" s="42" t="s">
        <v>40</v>
      </c>
      <c r="I69" s="42" t="s">
        <v>41</v>
      </c>
      <c r="J69" s="14">
        <f>IF($H69='[1]Data source'!$C$10,'[1]Data source'!$D$10,IF($H69='[1]Data source'!$C$11,'[1]Data source'!$D$11,IF($H69='[1]Data source'!$C$12,'[1]Data source'!$D$12,IF($H69='[1]Data source'!$C$13,'[1]Data source'!$D$13,IF($H69='[1]Data source'!$C$14,'[1]Data source'!$D$14,0)))))*IF($I69='[1]Data source'!$C$19,'[1]Data source'!$D$19,IF($I69='[1]Data source'!$C$20,'[1]Data source'!$D$20,IF($I69='[1]Data source'!$C$21,'[1]Data source'!$D$21,IF($I69='[1]Data source'!$C$22,'[1]Data source'!$D$22,IF($H69='[1]Data source'!$C$23,'[1]Data source'!$D$23,0)))))</f>
        <v>20</v>
      </c>
      <c r="K69" s="15" t="str">
        <f t="shared" si="1"/>
        <v>Unacceptable</v>
      </c>
      <c r="L69" s="16" t="s">
        <v>318</v>
      </c>
      <c r="M69" s="13" t="s">
        <v>26</v>
      </c>
      <c r="N69" s="17">
        <f>(1-IF($M69='[1]Data source'!$C$27,'[1]Data source'!$D$27,IF($M69='[1]Data source'!$C$28,'[1]Data source'!$D$28,IF($M69='[1]Data source'!$C$29,'[1]Data source'!$D$29,IF($M69='[1]Data source'!$C$30,'[1]Data source'!$D$30,0)))))*J69</f>
        <v>16</v>
      </c>
      <c r="O69" s="16"/>
      <c r="P69" s="22"/>
      <c r="Q69" s="45"/>
      <c r="R69" s="34"/>
      <c r="S69" s="19"/>
    </row>
    <row r="70" spans="2:20" s="21" customFormat="1" ht="90" x14ac:dyDescent="0.2">
      <c r="B70" s="8"/>
      <c r="C70" s="9">
        <v>69</v>
      </c>
      <c r="D70" s="9" t="s">
        <v>319</v>
      </c>
      <c r="E70" s="19" t="s">
        <v>320</v>
      </c>
      <c r="F70" s="11"/>
      <c r="G70" s="22" t="s">
        <v>321</v>
      </c>
      <c r="H70" s="42" t="s">
        <v>23</v>
      </c>
      <c r="I70" s="42" t="s">
        <v>30</v>
      </c>
      <c r="J70" s="14">
        <f>IF($H70='[1]Data source'!$C$10,'[1]Data source'!$D$10,IF($H70='[1]Data source'!$C$11,'[1]Data source'!$D$11,IF($H70='[1]Data source'!$C$12,'[1]Data source'!$D$12,IF($H70='[1]Data source'!$C$13,'[1]Data source'!$D$13,IF($H70='[1]Data source'!$C$14,'[1]Data source'!$D$14,0)))))*IF($I70='[1]Data source'!$C$19,'[1]Data source'!$D$19,IF($I70='[1]Data source'!$C$20,'[1]Data source'!$D$20,IF($I70='[1]Data source'!$C$21,'[1]Data source'!$D$21,IF($I70='[1]Data source'!$C$22,'[1]Data source'!$D$22,IF($H70='[1]Data source'!$C$23,'[1]Data source'!$D$23,0)))))</f>
        <v>12</v>
      </c>
      <c r="K70" s="15" t="str">
        <f t="shared" si="1"/>
        <v>Action Required</v>
      </c>
      <c r="L70" s="16" t="s">
        <v>322</v>
      </c>
      <c r="M70" s="13" t="s">
        <v>26</v>
      </c>
      <c r="N70" s="17">
        <f>(1-IF($M70='[1]Data source'!$C$27,'[1]Data source'!$D$27,IF($M70='[1]Data source'!$C$28,'[1]Data source'!$D$28,IF($M70='[1]Data source'!$C$29,'[1]Data source'!$D$29,IF($M70='[1]Data source'!$C$30,'[1]Data source'!$D$30,0)))))*J70</f>
        <v>9.6000000000000014</v>
      </c>
      <c r="O70" s="16"/>
      <c r="P70" s="22"/>
      <c r="Q70" s="45"/>
      <c r="R70" s="34"/>
      <c r="S70" s="19"/>
    </row>
    <row r="71" spans="2:20" s="21" customFormat="1" ht="56.25" x14ac:dyDescent="0.2">
      <c r="B71" s="8"/>
      <c r="C71" s="9">
        <v>70</v>
      </c>
      <c r="D71" s="9" t="s">
        <v>323</v>
      </c>
      <c r="E71" s="19" t="s">
        <v>324</v>
      </c>
      <c r="F71" s="11"/>
      <c r="G71" s="22" t="s">
        <v>325</v>
      </c>
      <c r="H71" s="42" t="s">
        <v>23</v>
      </c>
      <c r="I71" s="42" t="s">
        <v>30</v>
      </c>
      <c r="J71" s="14">
        <f>IF($H71='[1]Data source'!$C$10,'[1]Data source'!$D$10,IF($H71='[1]Data source'!$C$11,'[1]Data source'!$D$11,IF($H71='[1]Data source'!$C$12,'[1]Data source'!$D$12,IF($H71='[1]Data source'!$C$13,'[1]Data source'!$D$13,IF($H71='[1]Data source'!$C$14,'[1]Data source'!$D$14,0)))))*IF($I71='[1]Data source'!$C$19,'[1]Data source'!$D$19,IF($I71='[1]Data source'!$C$20,'[1]Data source'!$D$20,IF($I71='[1]Data source'!$C$21,'[1]Data source'!$D$21,IF($I71='[1]Data source'!$C$22,'[1]Data source'!$D$22,IF($H71='[1]Data source'!$C$23,'[1]Data source'!$D$23,0)))))</f>
        <v>12</v>
      </c>
      <c r="K71" s="15" t="str">
        <f t="shared" si="1"/>
        <v>Action Required</v>
      </c>
      <c r="L71" s="16" t="s">
        <v>326</v>
      </c>
      <c r="M71" s="13" t="s">
        <v>26</v>
      </c>
      <c r="N71" s="17">
        <f>(1-IF($M71='[1]Data source'!$C$27,'[1]Data source'!$D$27,IF($M71='[1]Data source'!$C$28,'[1]Data source'!$D$28,IF($M71='[1]Data source'!$C$29,'[1]Data source'!$D$29,IF($M71='[1]Data source'!$C$30,'[1]Data source'!$D$30,0)))))*J71</f>
        <v>9.6000000000000014</v>
      </c>
      <c r="O71" s="16"/>
      <c r="P71" s="22"/>
      <c r="Q71" s="45"/>
      <c r="R71" s="34"/>
      <c r="S71" s="19"/>
    </row>
    <row r="72" spans="2:20" s="21" customFormat="1" ht="90" x14ac:dyDescent="0.2">
      <c r="B72" s="8"/>
      <c r="C72" s="9">
        <v>71</v>
      </c>
      <c r="D72" s="9" t="s">
        <v>327</v>
      </c>
      <c r="E72" s="19" t="s">
        <v>328</v>
      </c>
      <c r="F72" s="11"/>
      <c r="G72" s="22" t="s">
        <v>329</v>
      </c>
      <c r="H72" s="42" t="s">
        <v>40</v>
      </c>
      <c r="I72" s="42" t="s">
        <v>35</v>
      </c>
      <c r="J72" s="14">
        <f>IF($H72='[1]Data source'!$C$10,'[1]Data source'!$D$10,IF($H72='[1]Data source'!$C$11,'[1]Data source'!$D$11,IF($H72='[1]Data source'!$C$12,'[1]Data source'!$D$12,IF($H72='[1]Data source'!$C$13,'[1]Data source'!$D$13,IF($H72='[1]Data source'!$C$14,'[1]Data source'!$D$14,0)))))*IF($I72='[1]Data source'!$C$19,'[1]Data source'!$D$19,IF($I72='[1]Data source'!$C$20,'[1]Data source'!$D$20,IF($I72='[1]Data source'!$C$21,'[1]Data source'!$D$21,IF($I72='[1]Data source'!$C$22,'[1]Data source'!$D$22,IF($H72='[1]Data source'!$C$23,'[1]Data source'!$D$23,0)))))</f>
        <v>25</v>
      </c>
      <c r="K72" s="15" t="str">
        <f t="shared" si="1"/>
        <v>Unacceptable</v>
      </c>
      <c r="L72" s="16" t="s">
        <v>330</v>
      </c>
      <c r="M72" s="13" t="s">
        <v>26</v>
      </c>
      <c r="N72" s="17">
        <f>(1-IF($M72='[1]Data source'!$C$27,'[1]Data source'!$D$27,IF($M72='[1]Data source'!$C$28,'[1]Data source'!$D$28,IF($M72='[1]Data source'!$C$29,'[1]Data source'!$D$29,IF($M72='[1]Data source'!$C$30,'[1]Data source'!$D$30,0)))))*J72</f>
        <v>20</v>
      </c>
      <c r="O72" s="16"/>
      <c r="P72" s="22"/>
      <c r="Q72" s="45"/>
      <c r="R72" s="34"/>
      <c r="S72" s="19"/>
    </row>
    <row r="73" spans="2:20" s="21" customFormat="1" ht="56.25" x14ac:dyDescent="0.2">
      <c r="B73" s="8"/>
      <c r="C73" s="9">
        <v>72</v>
      </c>
      <c r="D73" s="9" t="s">
        <v>331</v>
      </c>
      <c r="E73" s="19" t="s">
        <v>332</v>
      </c>
      <c r="F73" s="11"/>
      <c r="G73" s="22" t="s">
        <v>333</v>
      </c>
      <c r="H73" s="42" t="s">
        <v>23</v>
      </c>
      <c r="I73" s="42" t="s">
        <v>30</v>
      </c>
      <c r="J73" s="14">
        <f>IF($H73='[1]Data source'!$C$10,'[1]Data source'!$D$10,IF($H73='[1]Data source'!$C$11,'[1]Data source'!$D$11,IF($H73='[1]Data source'!$C$12,'[1]Data source'!$D$12,IF($H73='[1]Data source'!$C$13,'[1]Data source'!$D$13,IF($H73='[1]Data source'!$C$14,'[1]Data source'!$D$14,0)))))*IF($I73='[1]Data source'!$C$19,'[1]Data source'!$D$19,IF($I73='[1]Data source'!$C$20,'[1]Data source'!$D$20,IF($I73='[1]Data source'!$C$21,'[1]Data source'!$D$21,IF($I73='[1]Data source'!$C$22,'[1]Data source'!$D$22,IF($H73='[1]Data source'!$C$23,'[1]Data source'!$D$23,0)))))</f>
        <v>12</v>
      </c>
      <c r="K73" s="15" t="str">
        <f t="shared" si="1"/>
        <v>Action Required</v>
      </c>
      <c r="L73" s="16" t="s">
        <v>334</v>
      </c>
      <c r="M73" s="13" t="s">
        <v>125</v>
      </c>
      <c r="N73" s="17">
        <f>(1-IF($M73='[1]Data source'!$C$27,'[1]Data source'!$D$27,IF($M73='[1]Data source'!$C$28,'[1]Data source'!$D$28,IF($M73='[1]Data source'!$C$29,'[1]Data source'!$D$29,IF($M73='[1]Data source'!$C$30,'[1]Data source'!$D$30,0)))))*J73</f>
        <v>4.8000000000000007</v>
      </c>
      <c r="O73" s="16"/>
      <c r="P73" s="22"/>
      <c r="Q73" s="45"/>
      <c r="R73" s="34"/>
      <c r="S73" s="19"/>
    </row>
    <row r="74" spans="2:20" s="21" customFormat="1" x14ac:dyDescent="0.2">
      <c r="B74" s="47"/>
      <c r="C74" s="47"/>
      <c r="D74" s="48"/>
      <c r="E74" s="47"/>
      <c r="F74" s="49"/>
      <c r="G74" s="47"/>
      <c r="H74" s="49"/>
      <c r="I74" s="49"/>
      <c r="J74" s="49"/>
      <c r="K74" s="49"/>
      <c r="L74" s="50"/>
      <c r="M74" s="51"/>
      <c r="N74" s="50"/>
      <c r="O74" s="52"/>
      <c r="P74" s="47"/>
      <c r="Q74" s="49"/>
      <c r="R74" s="49"/>
      <c r="T74" s="28"/>
    </row>
  </sheetData>
  <protectedRanges>
    <protectedRange sqref="S3:S9 S14:S31" name="Range4_1_3"/>
  </protectedRanges>
  <autoFilter ref="B1:S73" xr:uid="{00000000-0009-0000-0000-000003000000}"/>
  <mergeCells count="16">
    <mergeCell ref="B63:B66"/>
    <mergeCell ref="F63:F66"/>
    <mergeCell ref="B67:B73"/>
    <mergeCell ref="F67:F73"/>
    <mergeCell ref="B32:B42"/>
    <mergeCell ref="F32:F42"/>
    <mergeCell ref="B43:B53"/>
    <mergeCell ref="F43:F53"/>
    <mergeCell ref="B54:B62"/>
    <mergeCell ref="F54:F62"/>
    <mergeCell ref="B2:B9"/>
    <mergeCell ref="F2:F9"/>
    <mergeCell ref="B10:B16"/>
    <mergeCell ref="F10:F16"/>
    <mergeCell ref="B17:B31"/>
    <mergeCell ref="F17:F31"/>
  </mergeCells>
  <conditionalFormatting sqref="J2:J73">
    <cfRule type="cellIs" dxfId="10" priority="7" stopIfTrue="1" operator="lessThan">
      <formula>4</formula>
    </cfRule>
    <cfRule type="cellIs" dxfId="9" priority="8" stopIfTrue="1" operator="between">
      <formula>5</formula>
      <formula>19</formula>
    </cfRule>
    <cfRule type="cellIs" dxfId="8" priority="9" stopIfTrue="1" operator="greaterThan">
      <formula>19</formula>
    </cfRule>
    <cfRule type="cellIs" dxfId="7" priority="10" stopIfTrue="1" operator="equal">
      <formula>"High"</formula>
    </cfRule>
    <cfRule type="cellIs" dxfId="6" priority="11" stopIfTrue="1" operator="equal">
      <formula>"Medium"</formula>
    </cfRule>
    <cfRule type="cellIs" dxfId="5" priority="12" stopIfTrue="1" operator="equal">
      <formula>"Low"</formula>
    </cfRule>
  </conditionalFormatting>
  <conditionalFormatting sqref="K1:K1048576">
    <cfRule type="colorScale" priority="1">
      <colorScale>
        <cfvo type="min"/>
        <cfvo type="max"/>
        <color theme="0"/>
        <color theme="0"/>
      </colorScale>
    </cfRule>
  </conditionalFormatting>
  <conditionalFormatting sqref="N2:N73">
    <cfRule type="cellIs" dxfId="4" priority="2" operator="between">
      <formula>0</formula>
      <formula>8</formula>
    </cfRule>
    <cfRule type="cellIs" dxfId="3" priority="3" operator="between">
      <formula>9</formula>
      <formula>15</formula>
    </cfRule>
    <cfRule type="cellIs" dxfId="2" priority="4" operator="between">
      <formula>15</formula>
      <formula>25</formula>
    </cfRule>
    <cfRule type="cellIs" dxfId="1" priority="5" operator="between">
      <formula>400</formula>
      <formula>1499</formula>
    </cfRule>
    <cfRule type="cellIs" dxfId="0" priority="6" operator="between">
      <formula>1500</formula>
      <formula>2000</formula>
    </cfRule>
  </conditionalFormatting>
  <dataValidations count="3">
    <dataValidation type="list" allowBlank="1" showInputMessage="1" showErrorMessage="1" sqref="M2:M73" xr:uid="{5B8846A6-FB6D-4730-BBF7-CAB00508215F}">
      <formula1>"Highly effective,Effective,Partially effective,Ineffective,No controls in place"</formula1>
    </dataValidation>
    <dataValidation type="list" allowBlank="1" showInputMessage="1" showErrorMessage="1" sqref="H2:H73" xr:uid="{C235B025-7C25-4983-B4A7-AEBC7795A1E4}">
      <formula1>"Catastrophic,Critical,Serious,Marginal,Negligibele"</formula1>
    </dataValidation>
    <dataValidation type="list" allowBlank="1" showInputMessage="1" showErrorMessage="1" sqref="I2:I73" xr:uid="{167BD22A-FF80-4435-B4D1-501D18A0E321}">
      <formula1>"Almost certain, Likely,Moderate,Unlikely,Rare"</formula1>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dc:creator>
  <cp:lastModifiedBy>Anthony</cp:lastModifiedBy>
  <dcterms:created xsi:type="dcterms:W3CDTF">2025-11-18T09:26:12Z</dcterms:created>
  <dcterms:modified xsi:type="dcterms:W3CDTF">2025-11-18T09:32:51Z</dcterms:modified>
</cp:coreProperties>
</file>